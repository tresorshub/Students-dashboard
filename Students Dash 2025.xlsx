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4BF631D1-F988-A64F-8229-F70FEE1DC6F9}" xr6:coauthVersionLast="47" xr6:coauthVersionMax="47" xr10:uidLastSave="{00000000-0000-0000-0000-000000000000}"/>
  <bookViews>
    <workbookView xWindow="0" yWindow="620" windowWidth="28800" windowHeight="15900" activeTab="13" xr2:uid="{00000000-000D-0000-FFFF-FFFF00000000}"/>
  </bookViews>
  <sheets>
    <sheet name="GRADE 7A" sheetId="1" state="hidden" r:id="rId1"/>
    <sheet name="GRADE 7B" sheetId="2" state="hidden" r:id="rId2"/>
    <sheet name="GRADE 7C" sheetId="3" state="hidden" r:id="rId3"/>
    <sheet name="GRADE  8A" sheetId="4" state="hidden" r:id="rId4"/>
    <sheet name="GRADE 8B" sheetId="5" state="hidden" r:id="rId5"/>
    <sheet name="GRADE 8C" sheetId="6" state="hidden" r:id="rId6"/>
    <sheet name="GRADE 9A" sheetId="7" state="hidden" r:id="rId7"/>
    <sheet name="GRADE 9B" sheetId="8" state="hidden" r:id="rId8"/>
    <sheet name="GRADE 9C" sheetId="9" state="hidden" r:id="rId9"/>
    <sheet name="GRADE 10A" sheetId="10" state="hidden" r:id="rId10"/>
    <sheet name="GRADE 10B" sheetId="11" state="hidden" r:id="rId11"/>
    <sheet name="GRADE 10C" sheetId="12" state="hidden" r:id="rId12"/>
    <sheet name="Female Students Dash 2025" sheetId="15" r:id="rId13"/>
    <sheet name="Male Students Raw 2025" sheetId="16" r:id="rId14"/>
    <sheet name="Visuals" sheetId="24" r:id="rId15"/>
  </sheets>
  <definedNames>
    <definedName name="_xlnm._FilterDatabase" localSheetId="9" hidden="1">'GRADE 10A'!$A$5:$G$30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4" l="1"/>
  <c r="N2" i="24"/>
  <c r="N1" i="24"/>
  <c r="F2" i="16"/>
  <c r="I2" i="16" s="1"/>
  <c r="K2" i="16"/>
  <c r="Q2" i="16"/>
  <c r="R2" i="16" s="1"/>
  <c r="AB2" i="16"/>
  <c r="AC2" i="16" s="1"/>
  <c r="F3" i="16"/>
  <c r="I3" i="16" s="1"/>
  <c r="K3" i="16"/>
  <c r="Q3" i="16"/>
  <c r="R3" i="16" s="1"/>
  <c r="AB3" i="16"/>
  <c r="AC3" i="16" s="1"/>
  <c r="F4" i="16"/>
  <c r="I4" i="16" s="1"/>
  <c r="K4" i="16"/>
  <c r="Q4" i="16"/>
  <c r="R4" i="16" s="1"/>
  <c r="AB4" i="16"/>
  <c r="AC4" i="16" s="1"/>
  <c r="F5" i="16"/>
  <c r="I5" i="16" s="1"/>
  <c r="K5" i="16"/>
  <c r="Q5" i="16"/>
  <c r="R5" i="16" s="1"/>
  <c r="AB5" i="16"/>
  <c r="AC5" i="16" s="1"/>
  <c r="I6" i="16"/>
  <c r="K6" i="16"/>
  <c r="Q6" i="16"/>
  <c r="R6" i="16" s="1"/>
  <c r="AC6" i="16"/>
  <c r="F7" i="16"/>
  <c r="I7" i="16" s="1"/>
  <c r="K7" i="16"/>
  <c r="Q7" i="16"/>
  <c r="R7" i="16" s="1"/>
  <c r="AB7" i="16"/>
  <c r="AC7" i="16" s="1"/>
  <c r="F8" i="16"/>
  <c r="I8" i="16" s="1"/>
  <c r="K8" i="16"/>
  <c r="Q8" i="16"/>
  <c r="R8" i="16" s="1"/>
  <c r="AB8" i="16"/>
  <c r="AC8" i="16" s="1"/>
  <c r="F9" i="16"/>
  <c r="I9" i="16" s="1"/>
  <c r="K9" i="16"/>
  <c r="Q9" i="16"/>
  <c r="R9" i="16" s="1"/>
  <c r="AB9" i="16"/>
  <c r="AC9" i="16" s="1"/>
  <c r="F10" i="16"/>
  <c r="I10" i="16" s="1"/>
  <c r="K10" i="16"/>
  <c r="Q10" i="16"/>
  <c r="R10" i="16" s="1"/>
  <c r="AB10" i="16"/>
  <c r="AC10" i="16" s="1"/>
  <c r="F11" i="16"/>
  <c r="I11" i="16" s="1"/>
  <c r="K11" i="16"/>
  <c r="Q11" i="16"/>
  <c r="R11" i="16" s="1"/>
  <c r="AB11" i="16"/>
  <c r="AC11" i="16" s="1"/>
  <c r="F12" i="16"/>
  <c r="I12" i="16" s="1"/>
  <c r="K12" i="16"/>
  <c r="Q12" i="16"/>
  <c r="R12" i="16" s="1"/>
  <c r="AB12" i="16"/>
  <c r="AC12" i="16" s="1"/>
  <c r="F13" i="16"/>
  <c r="I13" i="16" s="1"/>
  <c r="K13" i="16"/>
  <c r="Q13" i="16"/>
  <c r="R13" i="16" s="1"/>
  <c r="AB13" i="16"/>
  <c r="AC13" i="16" s="1"/>
  <c r="F14" i="16"/>
  <c r="I14" i="16" s="1"/>
  <c r="K14" i="16"/>
  <c r="Q14" i="16"/>
  <c r="R14" i="16" s="1"/>
  <c r="AB14" i="16"/>
  <c r="AC14" i="16" s="1"/>
  <c r="F15" i="16"/>
  <c r="I15" i="16" s="1"/>
  <c r="K15" i="16"/>
  <c r="Q15" i="16"/>
  <c r="R15" i="16" s="1"/>
  <c r="AB15" i="16"/>
  <c r="AC15" i="16" s="1"/>
  <c r="F16" i="16"/>
  <c r="I16" i="16" s="1"/>
  <c r="K16" i="16"/>
  <c r="Q16" i="16"/>
  <c r="R16" i="16" s="1"/>
  <c r="AB16" i="16"/>
  <c r="AC16" i="16" s="1"/>
  <c r="F17" i="16"/>
  <c r="I17" i="16" s="1"/>
  <c r="K17" i="16"/>
  <c r="Q17" i="16"/>
  <c r="R17" i="16" s="1"/>
  <c r="AB17" i="16"/>
  <c r="AC17" i="16" s="1"/>
  <c r="F18" i="16"/>
  <c r="I18" i="16" s="1"/>
  <c r="K18" i="16"/>
  <c r="Q18" i="16"/>
  <c r="R18" i="16" s="1"/>
  <c r="AB18" i="16"/>
  <c r="AC18" i="16" s="1"/>
  <c r="F19" i="16"/>
  <c r="I19" i="16" s="1"/>
  <c r="K19" i="16"/>
  <c r="Q19" i="16"/>
  <c r="R19" i="16" s="1"/>
  <c r="AB19" i="16"/>
  <c r="AC19" i="16" s="1"/>
  <c r="F20" i="16"/>
  <c r="I20" i="16" s="1"/>
  <c r="K20" i="16"/>
  <c r="Q20" i="16"/>
  <c r="R20" i="16" s="1"/>
  <c r="AB20" i="16"/>
  <c r="AC20" i="16" s="1"/>
  <c r="F21" i="16"/>
  <c r="I21" i="16" s="1"/>
  <c r="K21" i="16"/>
  <c r="Q21" i="16"/>
  <c r="R21" i="16" s="1"/>
  <c r="AB21" i="16"/>
  <c r="AC21" i="16" s="1"/>
  <c r="F22" i="16"/>
  <c r="I22" i="16" s="1"/>
  <c r="K22" i="16"/>
  <c r="Q22" i="16"/>
  <c r="R22" i="16" s="1"/>
  <c r="AB22" i="16"/>
  <c r="AC22" i="16" s="1"/>
  <c r="F23" i="16"/>
  <c r="I23" i="16" s="1"/>
  <c r="K23" i="16"/>
  <c r="Q23" i="16"/>
  <c r="R23" i="16" s="1"/>
  <c r="AB23" i="16"/>
  <c r="AC23" i="16" s="1"/>
  <c r="F24" i="16"/>
  <c r="I24" i="16" s="1"/>
  <c r="Q24" i="16"/>
  <c r="R24" i="16" s="1"/>
  <c r="AB24" i="16"/>
  <c r="AC24" i="16" s="1"/>
  <c r="F25" i="16"/>
  <c r="I25" i="16" s="1"/>
  <c r="K25" i="16"/>
  <c r="Q25" i="16"/>
  <c r="R25" i="16" s="1"/>
  <c r="AB25" i="16"/>
  <c r="AC25" i="16" s="1"/>
  <c r="F26" i="16"/>
  <c r="I26" i="16" s="1"/>
  <c r="K26" i="16"/>
  <c r="Q26" i="16"/>
  <c r="R26" i="16" s="1"/>
  <c r="AB26" i="16"/>
  <c r="AC26" i="16" s="1"/>
  <c r="F27" i="16"/>
  <c r="I27" i="16" s="1"/>
  <c r="K27" i="16"/>
  <c r="Q27" i="16"/>
  <c r="R27" i="16" s="1"/>
  <c r="AB27" i="16"/>
  <c r="AC27" i="16" s="1"/>
  <c r="F28" i="16"/>
  <c r="I28" i="16" s="1"/>
  <c r="K28" i="16"/>
  <c r="Q28" i="16"/>
  <c r="R28" i="16" s="1"/>
  <c r="AB28" i="16"/>
  <c r="AC28" i="16" s="1"/>
  <c r="F29" i="16"/>
  <c r="I29" i="16" s="1"/>
  <c r="K29" i="16"/>
  <c r="Q29" i="16"/>
  <c r="R29" i="16" s="1"/>
  <c r="AB29" i="16"/>
  <c r="AC29" i="16" s="1"/>
  <c r="F30" i="16"/>
  <c r="I30" i="16" s="1"/>
  <c r="K30" i="16"/>
  <c r="Q30" i="16"/>
  <c r="R30" i="16" s="1"/>
  <c r="AB30" i="16"/>
  <c r="AC30" i="16" s="1"/>
  <c r="F31" i="16"/>
  <c r="I31" i="16" s="1"/>
  <c r="K31" i="16"/>
  <c r="Q31" i="16"/>
  <c r="R31" i="16" s="1"/>
  <c r="AB31" i="16"/>
  <c r="AC31" i="16" s="1"/>
  <c r="F32" i="16"/>
  <c r="I32" i="16" s="1"/>
  <c r="K32" i="16"/>
  <c r="Q32" i="16"/>
  <c r="R32" i="16" s="1"/>
  <c r="AB32" i="16"/>
  <c r="AC32" i="16" s="1"/>
  <c r="F30" i="15"/>
  <c r="I30" i="15" s="1"/>
  <c r="K30" i="15"/>
  <c r="Q30" i="15"/>
  <c r="R30" i="15" s="1"/>
  <c r="AB30" i="15"/>
  <c r="H37" i="24"/>
  <c r="H36" i="24"/>
  <c r="H35" i="24"/>
  <c r="H34" i="24"/>
  <c r="H33" i="24"/>
  <c r="H32" i="24"/>
  <c r="H31" i="24"/>
  <c r="H30" i="24"/>
  <c r="H29" i="24"/>
  <c r="E33" i="24"/>
  <c r="E32" i="24"/>
  <c r="E31" i="24"/>
  <c r="E30" i="24"/>
  <c r="E29" i="24"/>
  <c r="E1" i="24"/>
  <c r="H1" i="24"/>
  <c r="E2" i="24"/>
  <c r="H2" i="24"/>
  <c r="E3" i="24"/>
  <c r="H3" i="24"/>
  <c r="E4" i="24"/>
  <c r="H4" i="24"/>
  <c r="E5" i="24"/>
  <c r="H5" i="24"/>
  <c r="H6" i="24"/>
  <c r="H7" i="24"/>
  <c r="H8" i="24"/>
  <c r="H9" i="24"/>
  <c r="AC9" i="15"/>
  <c r="AB10" i="15"/>
  <c r="AC10" i="15" s="1"/>
  <c r="AB11" i="15"/>
  <c r="AC11" i="15" s="1"/>
  <c r="AB12" i="15"/>
  <c r="AC12" i="15" s="1"/>
  <c r="AB13" i="15"/>
  <c r="AC13" i="15" s="1"/>
  <c r="AB14" i="15"/>
  <c r="AC14" i="15" s="1"/>
  <c r="AB15" i="15"/>
  <c r="AC15" i="15" s="1"/>
  <c r="AB16" i="15"/>
  <c r="AC16" i="15" s="1"/>
  <c r="AB17" i="15"/>
  <c r="AC17" i="15" s="1"/>
  <c r="AB18" i="15"/>
  <c r="AC18" i="15" s="1"/>
  <c r="AB6" i="15"/>
  <c r="AC6" i="15" s="1"/>
  <c r="AB7" i="15"/>
  <c r="AC7" i="15" s="1"/>
  <c r="AB8" i="15"/>
  <c r="AC8" i="15" s="1"/>
  <c r="AB2" i="15"/>
  <c r="AB3" i="15"/>
  <c r="AB4" i="15"/>
  <c r="AC4" i="15" s="1"/>
  <c r="AB5" i="15"/>
  <c r="AC5" i="15" s="1"/>
  <c r="AB19" i="15"/>
  <c r="AC19" i="15" s="1"/>
  <c r="AB20" i="15"/>
  <c r="AC20" i="15" s="1"/>
  <c r="AB21" i="15"/>
  <c r="AC21" i="15" s="1"/>
  <c r="AB22" i="15"/>
  <c r="AC22" i="15" s="1"/>
  <c r="AB23" i="15"/>
  <c r="AC23" i="15" s="1"/>
  <c r="AB24" i="15"/>
  <c r="AC24" i="15" s="1"/>
  <c r="AB25" i="15"/>
  <c r="AC25" i="15" s="1"/>
  <c r="AB26" i="15"/>
  <c r="AC26" i="15" s="1"/>
  <c r="AB27" i="15"/>
  <c r="AC27" i="15" s="1"/>
  <c r="AB28" i="15"/>
  <c r="AC28" i="15" s="1"/>
  <c r="AB29" i="15"/>
  <c r="AC29" i="15" s="1"/>
  <c r="AD24" i="16" l="1"/>
  <c r="AD23" i="16"/>
  <c r="AD8" i="16"/>
  <c r="AD21" i="16"/>
  <c r="AD22" i="16"/>
  <c r="AD9" i="16"/>
  <c r="AD7" i="16"/>
  <c r="AD26" i="16"/>
  <c r="AD15" i="16"/>
  <c r="AD12" i="16"/>
  <c r="AD18" i="16"/>
  <c r="AD11" i="16"/>
  <c r="AD14" i="16"/>
  <c r="AD28" i="16"/>
  <c r="AD27" i="16"/>
  <c r="AD6" i="16"/>
  <c r="AD17" i="16"/>
  <c r="AD16" i="16"/>
  <c r="AD3" i="16"/>
  <c r="AD2" i="16"/>
  <c r="AD25" i="16"/>
  <c r="AD19" i="16"/>
  <c r="AD29" i="16"/>
  <c r="AD4" i="16"/>
  <c r="AD20" i="16"/>
  <c r="AD31" i="16"/>
  <c r="AD30" i="16"/>
  <c r="AD13" i="16"/>
  <c r="AD32" i="16"/>
  <c r="AD10" i="16"/>
  <c r="AD5" i="16"/>
  <c r="AC30" i="15"/>
  <c r="AD30" i="15" s="1"/>
  <c r="AD2" i="15"/>
  <c r="AC3" i="15"/>
  <c r="N31" i="24"/>
  <c r="Q25" i="15"/>
  <c r="R25" i="15" s="1"/>
  <c r="Q7" i="15"/>
  <c r="R7" i="15" s="1"/>
  <c r="Q8" i="15"/>
  <c r="R8" i="15" s="1"/>
  <c r="Q9" i="15"/>
  <c r="R9" i="15" s="1"/>
  <c r="Q10" i="15"/>
  <c r="R10" i="15" s="1"/>
  <c r="Q11" i="15"/>
  <c r="R11" i="15" s="1"/>
  <c r="Q12" i="15"/>
  <c r="R12" i="15" s="1"/>
  <c r="Q13" i="15"/>
  <c r="R13" i="15" s="1"/>
  <c r="Q14" i="15"/>
  <c r="R14" i="15" s="1"/>
  <c r="Q15" i="15"/>
  <c r="R15" i="15" s="1"/>
  <c r="Q16" i="15"/>
  <c r="R16" i="15" s="1"/>
  <c r="Q17" i="15"/>
  <c r="R17" i="15" s="1"/>
  <c r="Q18" i="15"/>
  <c r="R18" i="15" s="1"/>
  <c r="Q19" i="15"/>
  <c r="R19" i="15" s="1"/>
  <c r="Q20" i="15"/>
  <c r="R20" i="15" s="1"/>
  <c r="Q21" i="15"/>
  <c r="R21" i="15" s="1"/>
  <c r="Q22" i="15"/>
  <c r="R22" i="15" s="1"/>
  <c r="Q23" i="15"/>
  <c r="R23" i="15" s="1"/>
  <c r="Q24" i="15"/>
  <c r="R24" i="15" s="1"/>
  <c r="Q26" i="15"/>
  <c r="R26" i="15" s="1"/>
  <c r="Q27" i="15"/>
  <c r="R27" i="15" s="1"/>
  <c r="Q28" i="15"/>
  <c r="R28" i="15" s="1"/>
  <c r="Q29" i="15"/>
  <c r="R29" i="15" s="1"/>
  <c r="Q2" i="15"/>
  <c r="Q3" i="15"/>
  <c r="R3" i="15" s="1"/>
  <c r="Q4" i="15"/>
  <c r="R4" i="15" s="1"/>
  <c r="Q5" i="15"/>
  <c r="R5" i="15" s="1"/>
  <c r="Q6" i="15"/>
  <c r="R6" i="15" s="1"/>
  <c r="N30" i="24" l="1"/>
  <c r="J5" i="9"/>
  <c r="J6" i="9"/>
  <c r="J7" i="9"/>
  <c r="J8" i="9"/>
  <c r="J9" i="9"/>
  <c r="J10" i="9"/>
  <c r="J11" i="9"/>
  <c r="J12" i="9"/>
  <c r="J13" i="9"/>
  <c r="J14" i="9"/>
  <c r="J16" i="9"/>
  <c r="J17" i="9"/>
  <c r="J18" i="9"/>
  <c r="J19" i="9"/>
  <c r="J21" i="9"/>
  <c r="J22" i="9"/>
  <c r="J23" i="9"/>
  <c r="J24" i="9"/>
  <c r="J25" i="9"/>
  <c r="J26" i="9"/>
  <c r="J27" i="9"/>
  <c r="J20" i="9" l="1"/>
  <c r="K3" i="15"/>
  <c r="AD3" i="15" s="1"/>
  <c r="K4" i="15"/>
  <c r="AD4" i="15" s="1"/>
  <c r="K5" i="15"/>
  <c r="AD5" i="15" s="1"/>
  <c r="K6" i="15"/>
  <c r="AD6" i="15" s="1"/>
  <c r="K7" i="15"/>
  <c r="AD7" i="15" s="1"/>
  <c r="K8" i="15"/>
  <c r="AD8" i="15" s="1"/>
  <c r="K9" i="15"/>
  <c r="AD9" i="15" s="1"/>
  <c r="K10" i="15"/>
  <c r="AD10" i="15" s="1"/>
  <c r="K11" i="15"/>
  <c r="AD11" i="15" s="1"/>
  <c r="K12" i="15"/>
  <c r="K13" i="15"/>
  <c r="AD13" i="15" s="1"/>
  <c r="K14" i="15"/>
  <c r="AD14" i="15" s="1"/>
  <c r="K15" i="15"/>
  <c r="AD15" i="15" s="1"/>
  <c r="K16" i="15"/>
  <c r="AD16" i="15" s="1"/>
  <c r="K17" i="15"/>
  <c r="AD17" i="15" s="1"/>
  <c r="K18" i="15"/>
  <c r="AD18" i="15" s="1"/>
  <c r="K19" i="15"/>
  <c r="AD19" i="15" s="1"/>
  <c r="K20" i="15"/>
  <c r="AD20" i="15" s="1"/>
  <c r="K21" i="15"/>
  <c r="AD21" i="15" s="1"/>
  <c r="K22" i="15"/>
  <c r="AD22" i="15" s="1"/>
  <c r="K23" i="15"/>
  <c r="AD23" i="15" s="1"/>
  <c r="K24" i="15"/>
  <c r="AD24" i="15" s="1"/>
  <c r="K25" i="15"/>
  <c r="AD25" i="15" s="1"/>
  <c r="K26" i="15"/>
  <c r="AD26" i="15" s="1"/>
  <c r="K27" i="15"/>
  <c r="AD27" i="15" s="1"/>
  <c r="K28" i="15"/>
  <c r="AD28" i="15" s="1"/>
  <c r="K29" i="15"/>
  <c r="AD29" i="15" s="1"/>
  <c r="AD12" i="15" l="1"/>
  <c r="N29" i="24"/>
  <c r="H27" i="9" l="1"/>
  <c r="H6" i="9" l="1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5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E5" i="9" l="1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F3" i="15"/>
  <c r="I3" i="15" s="1"/>
  <c r="F4" i="15"/>
  <c r="I4" i="15" s="1"/>
  <c r="F5" i="15"/>
  <c r="I5" i="15" s="1"/>
  <c r="F6" i="15"/>
  <c r="I6" i="15" s="1"/>
  <c r="F7" i="15"/>
  <c r="I7" i="15" s="1"/>
  <c r="F8" i="15"/>
  <c r="I8" i="15" s="1"/>
  <c r="F9" i="15"/>
  <c r="I9" i="15" s="1"/>
  <c r="F10" i="15"/>
  <c r="I10" i="15" s="1"/>
  <c r="F11" i="15"/>
  <c r="I11" i="15" s="1"/>
  <c r="F12" i="15"/>
  <c r="I12" i="15" s="1"/>
  <c r="F13" i="15"/>
  <c r="I13" i="15" s="1"/>
  <c r="F14" i="15"/>
  <c r="I14" i="15" s="1"/>
  <c r="F15" i="15"/>
  <c r="I15" i="15" s="1"/>
  <c r="F16" i="15"/>
  <c r="I16" i="15" s="1"/>
  <c r="F17" i="15"/>
  <c r="I17" i="15" s="1"/>
  <c r="F18" i="15"/>
  <c r="I18" i="15" s="1"/>
  <c r="F19" i="15"/>
  <c r="I19" i="15" s="1"/>
  <c r="F20" i="15"/>
  <c r="I20" i="15" s="1"/>
  <c r="F21" i="15"/>
  <c r="I21" i="15" s="1"/>
  <c r="F22" i="15"/>
  <c r="I22" i="15" s="1"/>
  <c r="F23" i="15"/>
  <c r="I23" i="15" s="1"/>
  <c r="F24" i="15"/>
  <c r="I24" i="15" s="1"/>
  <c r="F25" i="15"/>
  <c r="I25" i="15" s="1"/>
  <c r="F26" i="15"/>
  <c r="I26" i="15" s="1"/>
  <c r="F27" i="15"/>
  <c r="I27" i="15" s="1"/>
  <c r="F28" i="15"/>
  <c r="I28" i="15" s="1"/>
  <c r="F29" i="15"/>
  <c r="I29" i="15" s="1"/>
  <c r="AC19" i="7" l="1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5" i="7"/>
  <c r="AC5" i="8"/>
  <c r="Y6" i="8" l="1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5" i="8"/>
  <c r="Y5" i="7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5" i="8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5" i="7"/>
  <c r="U7" i="7" l="1"/>
  <c r="U6" i="8" l="1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6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5" i="8"/>
  <c r="U5" i="7"/>
  <c r="R24" i="8" l="1"/>
  <c r="R11" i="8"/>
  <c r="R9" i="8" l="1"/>
  <c r="R19" i="7" l="1"/>
  <c r="R8" i="7"/>
  <c r="R20" i="7"/>
  <c r="R10" i="7"/>
  <c r="R34" i="7"/>
  <c r="R18" i="7"/>
  <c r="Q19" i="7"/>
  <c r="Q8" i="7"/>
  <c r="Q20" i="7"/>
  <c r="Q10" i="7"/>
  <c r="Q34" i="7"/>
  <c r="Q18" i="7"/>
  <c r="O19" i="7"/>
  <c r="O8" i="7"/>
  <c r="O20" i="7"/>
  <c r="O10" i="7"/>
  <c r="O34" i="7"/>
  <c r="O18" i="7"/>
  <c r="Q35" i="7"/>
  <c r="Q7" i="7"/>
  <c r="Q14" i="7"/>
  <c r="Q21" i="7"/>
  <c r="Q31" i="7"/>
  <c r="Q12" i="7"/>
  <c r="Q29" i="7"/>
  <c r="Q30" i="7"/>
  <c r="Q5" i="7"/>
  <c r="Q6" i="7"/>
  <c r="Q25" i="7"/>
  <c r="Q28" i="7"/>
  <c r="Q13" i="7"/>
  <c r="Q9" i="7"/>
  <c r="Q17" i="7"/>
  <c r="Q24" i="7"/>
  <c r="Q11" i="7"/>
  <c r="Q16" i="7"/>
  <c r="Q26" i="7"/>
  <c r="Q23" i="7"/>
  <c r="Q32" i="7"/>
  <c r="Q15" i="7"/>
  <c r="Q22" i="7"/>
  <c r="Q33" i="7"/>
  <c r="O35" i="7"/>
  <c r="O7" i="7"/>
  <c r="O14" i="7"/>
  <c r="O21" i="7"/>
  <c r="O31" i="7"/>
  <c r="O12" i="7"/>
  <c r="O29" i="7"/>
  <c r="O30" i="7"/>
  <c r="O5" i="7"/>
  <c r="O6" i="7"/>
  <c r="O25" i="7"/>
  <c r="O28" i="7"/>
  <c r="O13" i="7"/>
  <c r="O9" i="7"/>
  <c r="O17" i="7"/>
  <c r="O24" i="7"/>
  <c r="O11" i="7"/>
  <c r="O16" i="7"/>
  <c r="O26" i="7"/>
  <c r="O23" i="7"/>
  <c r="O32" i="7"/>
  <c r="O15" i="7"/>
  <c r="O22" i="7"/>
  <c r="O33" i="7"/>
  <c r="O15" i="8"/>
  <c r="O7" i="8"/>
  <c r="O24" i="8"/>
  <c r="O17" i="8"/>
  <c r="O27" i="8"/>
  <c r="O22" i="8"/>
  <c r="O21" i="8"/>
  <c r="O28" i="8"/>
  <c r="O19" i="8"/>
  <c r="O23" i="8"/>
  <c r="O5" i="8"/>
  <c r="O10" i="8"/>
  <c r="O16" i="8"/>
  <c r="O12" i="8"/>
  <c r="O26" i="8"/>
  <c r="O6" i="8"/>
  <c r="O25" i="8"/>
  <c r="O11" i="8"/>
  <c r="O13" i="8"/>
  <c r="O20" i="8"/>
  <c r="O14" i="8"/>
  <c r="O8" i="8"/>
  <c r="O9" i="8"/>
  <c r="Q15" i="8"/>
  <c r="Q7" i="8"/>
  <c r="Q24" i="8"/>
  <c r="Q17" i="8"/>
  <c r="Q27" i="8"/>
  <c r="Q22" i="8"/>
  <c r="Q21" i="8"/>
  <c r="Q28" i="8"/>
  <c r="Q19" i="8"/>
  <c r="Q23" i="8"/>
  <c r="Q5" i="8"/>
  <c r="Q10" i="8"/>
  <c r="Q16" i="8"/>
  <c r="Q12" i="8"/>
  <c r="Q26" i="8"/>
  <c r="Q6" i="8"/>
  <c r="Q25" i="8"/>
  <c r="Q11" i="8"/>
  <c r="Q13" i="8"/>
  <c r="Q20" i="8"/>
  <c r="Q14" i="8"/>
  <c r="Q8" i="8"/>
  <c r="Q9" i="8"/>
  <c r="Q18" i="8"/>
  <c r="Q27" i="7"/>
  <c r="O18" i="8"/>
  <c r="O27" i="7"/>
  <c r="R35" i="7"/>
  <c r="R7" i="7"/>
  <c r="R14" i="7"/>
  <c r="R21" i="7"/>
  <c r="R31" i="7"/>
  <c r="R12" i="7"/>
  <c r="R29" i="7"/>
  <c r="R30" i="7"/>
  <c r="R5" i="7"/>
  <c r="R6" i="7"/>
  <c r="R25" i="7"/>
  <c r="R28" i="7"/>
  <c r="R13" i="7"/>
  <c r="R9" i="7"/>
  <c r="R17" i="7"/>
  <c r="R24" i="7"/>
  <c r="R11" i="7"/>
  <c r="R16" i="7"/>
  <c r="R26" i="7"/>
  <c r="R23" i="7"/>
  <c r="R32" i="7"/>
  <c r="R15" i="7"/>
  <c r="R22" i="7"/>
  <c r="R33" i="7"/>
  <c r="R15" i="8"/>
  <c r="R7" i="8"/>
  <c r="R17" i="8"/>
  <c r="R27" i="8"/>
  <c r="R22" i="8"/>
  <c r="R21" i="8"/>
  <c r="R28" i="8"/>
  <c r="R19" i="8"/>
  <c r="R23" i="8"/>
  <c r="R5" i="8"/>
  <c r="R10" i="8"/>
  <c r="R16" i="8"/>
  <c r="R12" i="8"/>
  <c r="R26" i="8"/>
  <c r="R6" i="8"/>
  <c r="R25" i="8"/>
  <c r="R13" i="8"/>
  <c r="R20" i="8"/>
  <c r="R14" i="8"/>
  <c r="R8" i="8"/>
  <c r="R27" i="7"/>
  <c r="R18" i="8"/>
  <c r="R37" i="7" l="1"/>
  <c r="M15" i="8" l="1"/>
  <c r="M7" i="8"/>
  <c r="M24" i="8"/>
  <c r="M17" i="8"/>
  <c r="M27" i="8"/>
  <c r="M22" i="8"/>
  <c r="M21" i="8"/>
  <c r="M28" i="8"/>
  <c r="M19" i="8"/>
  <c r="M23" i="8"/>
  <c r="M5" i="8"/>
  <c r="M10" i="8"/>
  <c r="M16" i="8"/>
  <c r="M12" i="8"/>
  <c r="M26" i="8"/>
  <c r="M6" i="8"/>
  <c r="M25" i="8"/>
  <c r="M11" i="8"/>
  <c r="M13" i="8"/>
  <c r="M20" i="8"/>
  <c r="M14" i="8"/>
  <c r="M8" i="8"/>
  <c r="M9" i="8"/>
  <c r="M35" i="7"/>
  <c r="M7" i="7"/>
  <c r="M14" i="7"/>
  <c r="M21" i="7"/>
  <c r="M31" i="7"/>
  <c r="M12" i="7"/>
  <c r="M29" i="7"/>
  <c r="M30" i="7"/>
  <c r="M5" i="7"/>
  <c r="M6" i="7"/>
  <c r="M25" i="7"/>
  <c r="M28" i="7"/>
  <c r="M13" i="7"/>
  <c r="M9" i="7"/>
  <c r="M17" i="7"/>
  <c r="M24" i="7"/>
  <c r="M11" i="7"/>
  <c r="M16" i="7"/>
  <c r="M26" i="7"/>
  <c r="M23" i="7"/>
  <c r="M32" i="7"/>
  <c r="M15" i="7"/>
  <c r="M22" i="7"/>
  <c r="M33" i="7"/>
  <c r="M19" i="7"/>
  <c r="M8" i="7"/>
  <c r="M20" i="7"/>
  <c r="M10" i="7"/>
  <c r="M34" i="7"/>
  <c r="M18" i="7"/>
  <c r="M18" i="8"/>
  <c r="M27" i="7"/>
  <c r="J15" i="8" l="1"/>
  <c r="J7" i="8"/>
  <c r="J24" i="8"/>
  <c r="J17" i="8"/>
  <c r="J27" i="8"/>
  <c r="J22" i="8"/>
  <c r="J21" i="8"/>
  <c r="J28" i="8"/>
  <c r="J19" i="8"/>
  <c r="J23" i="8"/>
  <c r="J5" i="8"/>
  <c r="J10" i="8"/>
  <c r="J16" i="8"/>
  <c r="J12" i="8"/>
  <c r="J26" i="8"/>
  <c r="J6" i="8"/>
  <c r="J25" i="8"/>
  <c r="J11" i="8"/>
  <c r="J13" i="8"/>
  <c r="J20" i="8"/>
  <c r="J14" i="8"/>
  <c r="J8" i="8"/>
  <c r="J9" i="8"/>
  <c r="J18" i="8"/>
  <c r="E9" i="8"/>
  <c r="J35" i="7"/>
  <c r="J7" i="7"/>
  <c r="J14" i="7"/>
  <c r="J21" i="7"/>
  <c r="J31" i="7"/>
  <c r="J12" i="7"/>
  <c r="J29" i="7"/>
  <c r="J30" i="7"/>
  <c r="J5" i="7"/>
  <c r="J6" i="7"/>
  <c r="J25" i="7"/>
  <c r="J28" i="7"/>
  <c r="J13" i="7"/>
  <c r="J9" i="7"/>
  <c r="J17" i="7"/>
  <c r="J24" i="7"/>
  <c r="J11" i="7"/>
  <c r="J16" i="7"/>
  <c r="J26" i="7"/>
  <c r="J23" i="7"/>
  <c r="J32" i="7"/>
  <c r="J15" i="7"/>
  <c r="J22" i="7"/>
  <c r="J33" i="7"/>
  <c r="J19" i="7"/>
  <c r="J8" i="7"/>
  <c r="J20" i="7"/>
  <c r="J10" i="7"/>
  <c r="J34" i="7"/>
  <c r="J18" i="7"/>
  <c r="J27" i="7"/>
  <c r="H15" i="8" l="1"/>
  <c r="H7" i="8"/>
  <c r="H24" i="8"/>
  <c r="H17" i="8"/>
  <c r="H27" i="8"/>
  <c r="H22" i="8"/>
  <c r="H21" i="8"/>
  <c r="H28" i="8"/>
  <c r="H19" i="8"/>
  <c r="H23" i="8"/>
  <c r="H5" i="8"/>
  <c r="H10" i="8"/>
  <c r="H16" i="8"/>
  <c r="H12" i="8"/>
  <c r="H26" i="8"/>
  <c r="H6" i="8"/>
  <c r="H25" i="8"/>
  <c r="H11" i="8"/>
  <c r="H13" i="8"/>
  <c r="H20" i="8"/>
  <c r="H14" i="8"/>
  <c r="H8" i="8"/>
  <c r="H9" i="8"/>
  <c r="H35" i="7"/>
  <c r="H7" i="7"/>
  <c r="H14" i="7"/>
  <c r="H21" i="7"/>
  <c r="H31" i="7"/>
  <c r="H12" i="7"/>
  <c r="H29" i="7"/>
  <c r="H30" i="7"/>
  <c r="H5" i="7"/>
  <c r="H6" i="7"/>
  <c r="H25" i="7"/>
  <c r="H28" i="7"/>
  <c r="H13" i="7"/>
  <c r="H9" i="7"/>
  <c r="H17" i="7"/>
  <c r="H24" i="7"/>
  <c r="H11" i="7"/>
  <c r="H16" i="7"/>
  <c r="H26" i="7"/>
  <c r="H23" i="7"/>
  <c r="H32" i="7"/>
  <c r="H15" i="7"/>
  <c r="H22" i="7"/>
  <c r="H33" i="7"/>
  <c r="H19" i="7"/>
  <c r="H8" i="7"/>
  <c r="H20" i="7"/>
  <c r="H10" i="7"/>
  <c r="H34" i="7"/>
  <c r="H18" i="7"/>
  <c r="H18" i="8"/>
  <c r="H27" i="7"/>
  <c r="E30" i="7" l="1"/>
  <c r="E17" i="7"/>
  <c r="E28" i="7"/>
  <c r="E34" i="7"/>
  <c r="E13" i="7"/>
  <c r="E25" i="7"/>
  <c r="E8" i="7"/>
  <c r="E18" i="7"/>
  <c r="E11" i="7"/>
  <c r="E27" i="7"/>
  <c r="E24" i="7"/>
  <c r="E6" i="7"/>
  <c r="E7" i="7"/>
  <c r="E9" i="7"/>
  <c r="E10" i="7"/>
  <c r="E12" i="7"/>
  <c r="E14" i="7"/>
  <c r="E15" i="7"/>
  <c r="E16" i="7"/>
  <c r="E19" i="7"/>
  <c r="E20" i="7"/>
  <c r="E21" i="7"/>
  <c r="E22" i="7"/>
  <c r="E23" i="7"/>
  <c r="E26" i="7"/>
  <c r="E29" i="7"/>
  <c r="E31" i="7"/>
  <c r="E32" i="7"/>
  <c r="E35" i="7"/>
  <c r="E5" i="7"/>
  <c r="E28" i="8"/>
  <c r="E23" i="8"/>
  <c r="E27" i="8"/>
  <c r="E19" i="8"/>
  <c r="E15" i="8"/>
  <c r="E16" i="8"/>
  <c r="E6" i="8"/>
  <c r="E21" i="8"/>
  <c r="E8" i="8"/>
  <c r="E13" i="8"/>
  <c r="E18" i="8"/>
  <c r="E10" i="8"/>
  <c r="E14" i="8"/>
  <c r="E24" i="8"/>
  <c r="E5" i="8"/>
  <c r="E7" i="8"/>
  <c r="E11" i="8"/>
  <c r="E12" i="8"/>
  <c r="E17" i="8"/>
  <c r="E20" i="8"/>
  <c r="E22" i="8"/>
  <c r="E25" i="8"/>
  <c r="E26" i="8"/>
  <c r="E37" i="7" l="1"/>
</calcChain>
</file>

<file path=xl/sharedStrings.xml><?xml version="1.0" encoding="utf-8"?>
<sst xmlns="http://schemas.openxmlformats.org/spreadsheetml/2006/main" count="1063" uniqueCount="656">
  <si>
    <t>CLASS LIST  As on 6 December 2024</t>
  </si>
  <si>
    <t>GRADE 6/6A</t>
  </si>
  <si>
    <t>CLASSROOM: 7</t>
  </si>
  <si>
    <t>NO</t>
  </si>
  <si>
    <t>SURNAME</t>
  </si>
  <si>
    <t>PREFERRED NAME</t>
  </si>
  <si>
    <t>G</t>
  </si>
  <si>
    <t>Ahmed</t>
  </si>
  <si>
    <t>Arib</t>
  </si>
  <si>
    <t>M</t>
  </si>
  <si>
    <t>Chipole</t>
  </si>
  <si>
    <t>Richard</t>
  </si>
  <si>
    <t>Choga</t>
  </si>
  <si>
    <t>Tinotenda</t>
  </si>
  <si>
    <t>De  Deus</t>
  </si>
  <si>
    <t>Txinguiva</t>
  </si>
  <si>
    <t>Frechauth</t>
  </si>
  <si>
    <t>Yago</t>
  </si>
  <si>
    <t>Khembo</t>
  </si>
  <si>
    <t>Kwamy</t>
  </si>
  <si>
    <t xml:space="preserve">      M</t>
  </si>
  <si>
    <t>Matimbe</t>
  </si>
  <si>
    <t>Akinwole</t>
  </si>
  <si>
    <t>Matos</t>
  </si>
  <si>
    <t>Nayro</t>
  </si>
  <si>
    <t>Mazuze</t>
  </si>
  <si>
    <t>Obede</t>
  </si>
  <si>
    <t>Momade</t>
  </si>
  <si>
    <t>Eder</t>
  </si>
  <si>
    <t>Monteiro</t>
  </si>
  <si>
    <t>Sofia</t>
  </si>
  <si>
    <t>F</t>
  </si>
  <si>
    <t>Nhaca</t>
  </si>
  <si>
    <t>Malika</t>
  </si>
  <si>
    <t>Nhamango</t>
  </si>
  <si>
    <t>Yunike</t>
  </si>
  <si>
    <t>Nhantumbo</t>
  </si>
  <si>
    <t>Ian</t>
  </si>
  <si>
    <t>Patel</t>
  </si>
  <si>
    <t>Hasnah</t>
  </si>
  <si>
    <t>Simango</t>
  </si>
  <si>
    <t>Kelly</t>
  </si>
  <si>
    <t>Sixpence</t>
  </si>
  <si>
    <t>Keize</t>
  </si>
  <si>
    <t>Ussivane</t>
  </si>
  <si>
    <t>Lenny</t>
  </si>
  <si>
    <t>GRADE 6/6B</t>
  </si>
  <si>
    <t>CLASSROOM: 8</t>
  </si>
  <si>
    <t>MOBILE</t>
  </si>
  <si>
    <t>Abdala</t>
  </si>
  <si>
    <t>Khaylene</t>
  </si>
  <si>
    <t>Armando</t>
  </si>
  <si>
    <t>Mayra Kelly</t>
  </si>
  <si>
    <t>AshantyInsena</t>
  </si>
  <si>
    <t>Insena</t>
  </si>
  <si>
    <t>Bazar</t>
  </si>
  <si>
    <t>Iwanga</t>
  </si>
  <si>
    <t>Buzi</t>
  </si>
  <si>
    <t>Pietro</t>
  </si>
  <si>
    <t>Coelho</t>
  </si>
  <si>
    <t>Gabriel</t>
  </si>
  <si>
    <t>Da Silva</t>
  </si>
  <si>
    <t>Miguel</t>
  </si>
  <si>
    <t>Frank</t>
  </si>
  <si>
    <t>Enzo</t>
  </si>
  <si>
    <t xml:space="preserve">  `   </t>
  </si>
  <si>
    <t>Lubrino</t>
  </si>
  <si>
    <t>Kaien</t>
  </si>
  <si>
    <t>Manhenje</t>
  </si>
  <si>
    <t>Marlon</t>
  </si>
  <si>
    <t>Maposse</t>
  </si>
  <si>
    <t>Yanni</t>
  </si>
  <si>
    <t>Matsinhe</t>
  </si>
  <si>
    <t>Tariko</t>
  </si>
  <si>
    <t>Mithe</t>
  </si>
  <si>
    <t>Patrick</t>
  </si>
  <si>
    <t xml:space="preserve">Mould </t>
  </si>
  <si>
    <t>Luke</t>
  </si>
  <si>
    <t>Muchanga</t>
  </si>
  <si>
    <t>Nair</t>
  </si>
  <si>
    <t>Gitu</t>
  </si>
  <si>
    <t>84222-575</t>
  </si>
  <si>
    <t>Aaricia</t>
  </si>
  <si>
    <t>Nhatumbo</t>
  </si>
  <si>
    <t>Laine</t>
  </si>
  <si>
    <t>Rosario</t>
  </si>
  <si>
    <t>Merram</t>
  </si>
  <si>
    <t xml:space="preserve">       F</t>
  </si>
  <si>
    <t>Tingote</t>
  </si>
  <si>
    <t>Mwezi</t>
  </si>
  <si>
    <t>Tuzine</t>
  </si>
  <si>
    <t>Rosemary</t>
  </si>
  <si>
    <t>GRADE 6/6C</t>
  </si>
  <si>
    <t>CLASSROOM: 9</t>
  </si>
  <si>
    <t>Bhanji</t>
  </si>
  <si>
    <t>Rihanna</t>
  </si>
  <si>
    <t>Come</t>
  </si>
  <si>
    <t>Anaya</t>
  </si>
  <si>
    <t>De Melo</t>
  </si>
  <si>
    <t>Aliyah</t>
  </si>
  <si>
    <t xml:space="preserve">Fafetine </t>
  </si>
  <si>
    <t>Melanie</t>
  </si>
  <si>
    <t>Laquissa</t>
  </si>
  <si>
    <t>Michelle</t>
  </si>
  <si>
    <t>Lima</t>
  </si>
  <si>
    <t>Yannai</t>
  </si>
  <si>
    <t>Macota</t>
  </si>
  <si>
    <t>Monalisa</t>
  </si>
  <si>
    <t>Maluleque</t>
  </si>
  <si>
    <t>Ebner</t>
  </si>
  <si>
    <t>Mavume</t>
  </si>
  <si>
    <t>Whitney</t>
  </si>
  <si>
    <t>Morais</t>
  </si>
  <si>
    <t>Nathaniel</t>
  </si>
  <si>
    <t>Nhassengo</t>
  </si>
  <si>
    <t>Lunda</t>
  </si>
  <si>
    <t>Nuvunga</t>
  </si>
  <si>
    <t>Ayaan</t>
  </si>
  <si>
    <t>Nwobodo</t>
  </si>
  <si>
    <t>Obiora</t>
  </si>
  <si>
    <t>Paulo</t>
  </si>
  <si>
    <t>Mariana</t>
  </si>
  <si>
    <t>Taju</t>
  </si>
  <si>
    <t>Akilah</t>
  </si>
  <si>
    <t>Uate</t>
  </si>
  <si>
    <t>Elainy</t>
  </si>
  <si>
    <t>Sitoe</t>
  </si>
  <si>
    <t>Arthur</t>
  </si>
  <si>
    <t>Mabota</t>
  </si>
  <si>
    <t>GRADE 7/7A</t>
  </si>
  <si>
    <t>CLASSROOM: 10</t>
  </si>
  <si>
    <t>863970101</t>
  </si>
  <si>
    <t>849903689</t>
  </si>
  <si>
    <t>846019681</t>
  </si>
  <si>
    <t>Muchenje</t>
  </si>
  <si>
    <t>Nashe</t>
  </si>
  <si>
    <t>Munembe</t>
  </si>
  <si>
    <t>Lwukheny</t>
  </si>
  <si>
    <t>824825530</t>
  </si>
  <si>
    <t>Munguambe</t>
  </si>
  <si>
    <t>Ivan</t>
  </si>
  <si>
    <t>848100087</t>
  </si>
  <si>
    <t>Mutsaka</t>
  </si>
  <si>
    <t>Mia</t>
  </si>
  <si>
    <t>829752922</t>
  </si>
  <si>
    <t>Pondeca</t>
  </si>
  <si>
    <t>Bradley</t>
  </si>
  <si>
    <t>Pondja</t>
  </si>
  <si>
    <t>Wivine</t>
  </si>
  <si>
    <t>845692460</t>
  </si>
  <si>
    <t>Ribeiro</t>
  </si>
  <si>
    <t>Alliz</t>
  </si>
  <si>
    <t>Uache</t>
  </si>
  <si>
    <t>Shantelle</t>
  </si>
  <si>
    <t>843009960</t>
  </si>
  <si>
    <t>GRADE 7/7B</t>
  </si>
  <si>
    <t>CLASSROOM: 11</t>
  </si>
  <si>
    <t>N.O</t>
  </si>
  <si>
    <t>Abranches</t>
  </si>
  <si>
    <t>Amarailis</t>
  </si>
  <si>
    <t>843737701</t>
  </si>
  <si>
    <t>Bila</t>
  </si>
  <si>
    <t>Khanyisa</t>
  </si>
  <si>
    <t>Castro</t>
  </si>
  <si>
    <t>Aline</t>
  </si>
  <si>
    <t>849552511</t>
  </si>
  <si>
    <t>Chimene</t>
  </si>
  <si>
    <t>843231340</t>
  </si>
  <si>
    <t>Dimande</t>
  </si>
  <si>
    <t>Nora</t>
  </si>
  <si>
    <t>849552522</t>
  </si>
  <si>
    <t>Elias</t>
  </si>
  <si>
    <t>Larissa</t>
  </si>
  <si>
    <t>847821319</t>
  </si>
  <si>
    <t>Forquilha</t>
  </si>
  <si>
    <t>824968950</t>
  </si>
  <si>
    <t xml:space="preserve">Lou </t>
  </si>
  <si>
    <t>Jasmine</t>
  </si>
  <si>
    <t>Lucy Nzama</t>
  </si>
  <si>
    <t>Lila</t>
  </si>
  <si>
    <t>Macuácua</t>
  </si>
  <si>
    <t>Brena</t>
  </si>
  <si>
    <t>Manuel</t>
  </si>
  <si>
    <t>Bianca</t>
  </si>
  <si>
    <t>Marrufo</t>
  </si>
  <si>
    <t>Marley</t>
  </si>
  <si>
    <t>Mauricio</t>
  </si>
  <si>
    <t>Chanel</t>
  </si>
  <si>
    <t>Igor</t>
  </si>
  <si>
    <t>Nhabangue</t>
  </si>
  <si>
    <t>Jasmin</t>
  </si>
  <si>
    <t>Pietra</t>
  </si>
  <si>
    <t>Nhampule</t>
  </si>
  <si>
    <t>Alicia</t>
  </si>
  <si>
    <t>Nkamate</t>
  </si>
  <si>
    <t>Dandara</t>
  </si>
  <si>
    <t>Brandon</t>
  </si>
  <si>
    <t>Weldon</t>
  </si>
  <si>
    <t>828503540</t>
  </si>
  <si>
    <t>Titoce</t>
  </si>
  <si>
    <t>Kawira</t>
  </si>
  <si>
    <t>Vilanculos</t>
  </si>
  <si>
    <t>Melissa</t>
  </si>
  <si>
    <t>GRADE 7/7C</t>
  </si>
  <si>
    <t>CLASSROOM: 12</t>
  </si>
  <si>
    <t>Canda</t>
  </si>
  <si>
    <t>Lenon</t>
  </si>
  <si>
    <t>Carneiro</t>
  </si>
  <si>
    <t>Kyara</t>
  </si>
  <si>
    <t>Farrao</t>
  </si>
  <si>
    <t>Adelio</t>
  </si>
  <si>
    <t>Fernandes</t>
  </si>
  <si>
    <t>Shanaya</t>
  </si>
  <si>
    <t>Guilaze</t>
  </si>
  <si>
    <t>Janine</t>
  </si>
  <si>
    <t>Macamo</t>
  </si>
  <si>
    <t>Kurtney</t>
  </si>
  <si>
    <t>Macaringue</t>
  </si>
  <si>
    <t>Shani</t>
  </si>
  <si>
    <t>Moiane</t>
  </si>
  <si>
    <t>Wanga</t>
  </si>
  <si>
    <t>Mondlane</t>
  </si>
  <si>
    <t>Ewen</t>
  </si>
  <si>
    <t>Muchate</t>
  </si>
  <si>
    <t>Lednys</t>
  </si>
  <si>
    <t>Nhambe</t>
  </si>
  <si>
    <t>Otto</t>
  </si>
  <si>
    <t>Pitoro</t>
  </si>
  <si>
    <t>Kebba</t>
  </si>
  <si>
    <t>Rombe</t>
  </si>
  <si>
    <t>Kalunga</t>
  </si>
  <si>
    <t>Saranga</t>
  </si>
  <si>
    <t>Prince</t>
  </si>
  <si>
    <t>Sitole</t>
  </si>
  <si>
    <t>Alvyn</t>
  </si>
  <si>
    <t>Khensani</t>
  </si>
  <si>
    <t>Shaquila</t>
  </si>
  <si>
    <t>Elaine</t>
  </si>
  <si>
    <t>Giovanni</t>
  </si>
  <si>
    <t>Bruno</t>
  </si>
  <si>
    <t>GRADE 8/8A</t>
  </si>
  <si>
    <t>CLASSROOM: 13</t>
  </si>
  <si>
    <t>Barbosa</t>
  </si>
  <si>
    <t>Caua</t>
  </si>
  <si>
    <t>Bata</t>
  </si>
  <si>
    <t>Gaby</t>
  </si>
  <si>
    <t>Bonate</t>
  </si>
  <si>
    <t>Alisher</t>
  </si>
  <si>
    <t>Chihale</t>
  </si>
  <si>
    <t>Chioniso</t>
  </si>
  <si>
    <t>Tinashe</t>
  </si>
  <si>
    <t>Assanty</t>
  </si>
  <si>
    <t>Ferrao</t>
  </si>
  <si>
    <t>Jamal</t>
  </si>
  <si>
    <t>Nayara</t>
  </si>
  <si>
    <t>Macassa</t>
  </si>
  <si>
    <t>Lwamy</t>
  </si>
  <si>
    <t>Magaia</t>
  </si>
  <si>
    <t>Lisa</t>
  </si>
  <si>
    <t>Manhica</t>
  </si>
  <si>
    <t>Sean</t>
  </si>
  <si>
    <t>Manuell</t>
  </si>
  <si>
    <t>Theo</t>
  </si>
  <si>
    <t>Masama</t>
  </si>
  <si>
    <t>Anabella</t>
  </si>
  <si>
    <t>Moises</t>
  </si>
  <si>
    <t>Mueteque</t>
  </si>
  <si>
    <t>Mirella</t>
  </si>
  <si>
    <t>Olweny</t>
  </si>
  <si>
    <t>Micky</t>
  </si>
  <si>
    <t>Samo Gudo</t>
  </si>
  <si>
    <t>Kayra</t>
  </si>
  <si>
    <t>Allan</t>
  </si>
  <si>
    <t>Ayoki</t>
  </si>
  <si>
    <t>Trindade</t>
  </si>
  <si>
    <t>Uataia</t>
  </si>
  <si>
    <t>Muakiba</t>
  </si>
  <si>
    <t>Vijarona</t>
  </si>
  <si>
    <t>Zaina</t>
  </si>
  <si>
    <t>Akeelah</t>
  </si>
  <si>
    <t>GRADE 8/8B</t>
  </si>
  <si>
    <t>Chambal</t>
  </si>
  <si>
    <t>Simone</t>
  </si>
  <si>
    <t>Chissano</t>
  </si>
  <si>
    <t>Luana</t>
  </si>
  <si>
    <t>Zein</t>
  </si>
  <si>
    <t>Cossa</t>
  </si>
  <si>
    <t xml:space="preserve">Daude </t>
  </si>
  <si>
    <t>Allen</t>
  </si>
  <si>
    <t>Fanequisso</t>
  </si>
  <si>
    <t>Laice</t>
  </si>
  <si>
    <t>Thierry</t>
  </si>
  <si>
    <t>Lourenco</t>
  </si>
  <si>
    <t>Klayton</t>
  </si>
  <si>
    <t>Luann</t>
  </si>
  <si>
    <t>Malita</t>
  </si>
  <si>
    <t>Matete</t>
  </si>
  <si>
    <t>Gamiliel</t>
  </si>
  <si>
    <t>Mesa</t>
  </si>
  <si>
    <t>Moiana</t>
  </si>
  <si>
    <t>Dominique</t>
  </si>
  <si>
    <t>Mucavele</t>
  </si>
  <si>
    <t>Wendal</t>
  </si>
  <si>
    <t>Muebe</t>
  </si>
  <si>
    <t>Phiri</t>
  </si>
  <si>
    <t>Pires</t>
  </si>
  <si>
    <t>Aimee</t>
  </si>
  <si>
    <t>Andrade</t>
  </si>
  <si>
    <t>Derek</t>
  </si>
  <si>
    <t>Garrine</t>
  </si>
  <si>
    <t>Govene</t>
  </si>
  <si>
    <t>Kenyian</t>
  </si>
  <si>
    <t>Loforte</t>
  </si>
  <si>
    <t>Anaia</t>
  </si>
  <si>
    <t>Mabote</t>
  </si>
  <si>
    <t>Winston</t>
  </si>
  <si>
    <t>Wendy</t>
  </si>
  <si>
    <t>Massinga</t>
  </si>
  <si>
    <t>Taila</t>
  </si>
  <si>
    <t>Massingue</t>
  </si>
  <si>
    <t>Kione</t>
  </si>
  <si>
    <t>Nhatitima</t>
  </si>
  <si>
    <t>Ossmane</t>
  </si>
  <si>
    <t>Diwan</t>
  </si>
  <si>
    <t>Pereira</t>
  </si>
  <si>
    <t>Quinze</t>
  </si>
  <si>
    <t>Sifisso</t>
  </si>
  <si>
    <t>Timana</t>
  </si>
  <si>
    <t>Shanty</t>
  </si>
  <si>
    <t>Layza</t>
  </si>
  <si>
    <t>Weng</t>
  </si>
  <si>
    <t>Kaina</t>
  </si>
  <si>
    <t>GRADE 9/9A</t>
  </si>
  <si>
    <t>CLASSROOM: 16</t>
  </si>
  <si>
    <t>Bauque</t>
  </si>
  <si>
    <t>Tiago</t>
  </si>
  <si>
    <t>Kiyomi</t>
  </si>
  <si>
    <t>Chemane</t>
  </si>
  <si>
    <t>Chicane</t>
  </si>
  <si>
    <t>Mabilinga</t>
  </si>
  <si>
    <t>Costa</t>
  </si>
  <si>
    <t>Esther</t>
  </si>
  <si>
    <t>Cuambe</t>
  </si>
  <si>
    <t>Shelsy</t>
  </si>
  <si>
    <t>84090000O</t>
  </si>
  <si>
    <t>Cumbana</t>
  </si>
  <si>
    <t>Andressa</t>
  </si>
  <si>
    <t>Melanny</t>
  </si>
  <si>
    <t>Fumo</t>
  </si>
  <si>
    <t>Shelton</t>
  </si>
  <si>
    <t>Inacio</t>
  </si>
  <si>
    <t>Mayara</t>
  </si>
  <si>
    <t>846042001</t>
  </si>
  <si>
    <t>Jamela</t>
  </si>
  <si>
    <t>Wonane</t>
  </si>
  <si>
    <t>Samara</t>
  </si>
  <si>
    <t>Mandlate</t>
  </si>
  <si>
    <t>Hirca</t>
  </si>
  <si>
    <t>Mandunde</t>
  </si>
  <si>
    <t>Taiza</t>
  </si>
  <si>
    <t>855702755</t>
  </si>
  <si>
    <t>Nairon</t>
  </si>
  <si>
    <t>Naara</t>
  </si>
  <si>
    <t>Mucasse</t>
  </si>
  <si>
    <t>Nilayza</t>
  </si>
  <si>
    <t>Nhabinde</t>
  </si>
  <si>
    <t>Mishley</t>
  </si>
  <si>
    <t>Nkutumula</t>
  </si>
  <si>
    <t>Lindiwe</t>
  </si>
  <si>
    <t>Paruque</t>
  </si>
  <si>
    <t>Yunath</t>
  </si>
  <si>
    <t>Pinto</t>
  </si>
  <si>
    <t>Sania</t>
  </si>
  <si>
    <t>Rocheque</t>
  </si>
  <si>
    <t>Khatyla</t>
  </si>
  <si>
    <t>Santoro</t>
  </si>
  <si>
    <t>Jada</t>
  </si>
  <si>
    <t>Nyeleti</t>
  </si>
  <si>
    <t>GRADE 9/9B</t>
  </si>
  <si>
    <t>CLASSROOM: 17</t>
  </si>
  <si>
    <t>Albino</t>
  </si>
  <si>
    <t>Nemzi</t>
  </si>
  <si>
    <t>Caetano</t>
  </si>
  <si>
    <t xml:space="preserve">Loureen </t>
  </si>
  <si>
    <t>Caifaz</t>
  </si>
  <si>
    <t>Kewane</t>
  </si>
  <si>
    <t>Casimiro</t>
  </si>
  <si>
    <t>Shekainae</t>
  </si>
  <si>
    <t>Caue</t>
  </si>
  <si>
    <t>820881740</t>
  </si>
  <si>
    <t>De Sousa</t>
  </si>
  <si>
    <t>Harlan</t>
  </si>
  <si>
    <t>Kenzo</t>
  </si>
  <si>
    <t>Joaquim</t>
  </si>
  <si>
    <t>Liwane</t>
  </si>
  <si>
    <t>863993870</t>
  </si>
  <si>
    <t>Luis</t>
  </si>
  <si>
    <t>Akeem</t>
  </si>
  <si>
    <t>Madime</t>
  </si>
  <si>
    <t>Manjate</t>
  </si>
  <si>
    <t>Helmer</t>
  </si>
  <si>
    <t>Marques</t>
  </si>
  <si>
    <t>Naomi</t>
  </si>
  <si>
    <t>Matavela</t>
  </si>
  <si>
    <t>Valdemiro</t>
  </si>
  <si>
    <t>Matola</t>
  </si>
  <si>
    <t>Melody</t>
  </si>
  <si>
    <t>Mossiane</t>
  </si>
  <si>
    <t>Tawane</t>
  </si>
  <si>
    <t>Azarias</t>
  </si>
  <si>
    <t>843984388</t>
  </si>
  <si>
    <t>Mussivami</t>
  </si>
  <si>
    <t>Osni</t>
  </si>
  <si>
    <t>Rafael</t>
  </si>
  <si>
    <t>Kalebe</t>
  </si>
  <si>
    <t>Tawila</t>
  </si>
  <si>
    <t>Santana</t>
  </si>
  <si>
    <t>Adney</t>
  </si>
  <si>
    <t>Sulemane</t>
  </si>
  <si>
    <t xml:space="preserve">Yanishka </t>
  </si>
  <si>
    <t>Tembe</t>
  </si>
  <si>
    <t>Tsakane</t>
  </si>
  <si>
    <t xml:space="preserve">       </t>
  </si>
  <si>
    <t>GRADE 9/9C</t>
  </si>
  <si>
    <t>CLASSROOM: 18</t>
  </si>
  <si>
    <t xml:space="preserve">Bertagna </t>
  </si>
  <si>
    <t>Daniele</t>
  </si>
  <si>
    <t>Branquinho</t>
  </si>
  <si>
    <t>Yuwanda</t>
  </si>
  <si>
    <t>843006731</t>
  </si>
  <si>
    <t>Brito</t>
  </si>
  <si>
    <t>Kaio</t>
  </si>
  <si>
    <t>Candrinho</t>
  </si>
  <si>
    <t>Briony</t>
  </si>
  <si>
    <t>Ryan</t>
  </si>
  <si>
    <t>Mongo</t>
  </si>
  <si>
    <t>Lukenia</t>
  </si>
  <si>
    <t>Naila</t>
  </si>
  <si>
    <t>Muianga</t>
  </si>
  <si>
    <t>Musong</t>
  </si>
  <si>
    <t>Kendra</t>
  </si>
  <si>
    <t>Nevitt</t>
  </si>
  <si>
    <t>Morris</t>
  </si>
  <si>
    <t>Nhazimo</t>
  </si>
  <si>
    <t>Ayana</t>
  </si>
  <si>
    <t>Paco</t>
  </si>
  <si>
    <t>Bruna</t>
  </si>
  <si>
    <t>Kiace</t>
  </si>
  <si>
    <t>Lauryn</t>
  </si>
  <si>
    <t>Tembé Michila</t>
  </si>
  <si>
    <t>Kiyana</t>
  </si>
  <si>
    <t>Timbana</t>
  </si>
  <si>
    <t>Arcano</t>
  </si>
  <si>
    <t>Uamusse</t>
  </si>
  <si>
    <t>Yunara</t>
  </si>
  <si>
    <t>Macome</t>
  </si>
  <si>
    <t>Mucale</t>
  </si>
  <si>
    <t>Bongani</t>
  </si>
  <si>
    <t>Boca</t>
  </si>
  <si>
    <t>Dalsuco</t>
  </si>
  <si>
    <t>Dos Santos</t>
  </si>
  <si>
    <t>Carlos</t>
  </si>
  <si>
    <t>Haider</t>
  </si>
  <si>
    <t>%</t>
  </si>
  <si>
    <t>Meguigy</t>
  </si>
  <si>
    <t>Aleczander</t>
  </si>
  <si>
    <t>Tiffany</t>
  </si>
  <si>
    <t>Estevao</t>
  </si>
  <si>
    <t>Yulani</t>
  </si>
  <si>
    <t>Jorge</t>
  </si>
  <si>
    <t>Malik</t>
  </si>
  <si>
    <t>Kainda</t>
  </si>
  <si>
    <t>Leticia</t>
  </si>
  <si>
    <t>Keanu</t>
  </si>
  <si>
    <t>Ciara</t>
  </si>
  <si>
    <t>Nyamucho</t>
  </si>
  <si>
    <t>Kaleb</t>
  </si>
  <si>
    <t xml:space="preserve">% </t>
  </si>
  <si>
    <t xml:space="preserve">Andrade </t>
  </si>
  <si>
    <t>Murwira</t>
  </si>
  <si>
    <t>Lorraine</t>
  </si>
  <si>
    <t>Samu Gudo</t>
  </si>
  <si>
    <t>Kiondo</t>
  </si>
  <si>
    <t>Andreia</t>
  </si>
  <si>
    <t>Cheia</t>
  </si>
  <si>
    <t>Namborete</t>
  </si>
  <si>
    <t>Henzo</t>
  </si>
  <si>
    <t>Lidia Sasha</t>
  </si>
  <si>
    <t>Skyra</t>
  </si>
  <si>
    <t>Moa</t>
  </si>
  <si>
    <t>Vaz</t>
  </si>
  <si>
    <t>Ajuda</t>
  </si>
  <si>
    <t>Winnyle</t>
  </si>
  <si>
    <t>Annrose</t>
  </si>
  <si>
    <t>Dias</t>
  </si>
  <si>
    <t>Charleen</t>
  </si>
  <si>
    <t>Luisa</t>
  </si>
  <si>
    <t>Winsen</t>
  </si>
  <si>
    <t>Tyara</t>
  </si>
  <si>
    <t>Chantelle</t>
  </si>
  <si>
    <t>Mayra</t>
  </si>
  <si>
    <t>Aleixo</t>
  </si>
  <si>
    <t>absent</t>
  </si>
  <si>
    <t>cousin</t>
  </si>
  <si>
    <t>mum refused 823223111</t>
  </si>
  <si>
    <t>Kiumi</t>
  </si>
  <si>
    <t>FAT 1 
40</t>
  </si>
  <si>
    <t>Priscilla</t>
  </si>
  <si>
    <t>Thandywe</t>
  </si>
  <si>
    <t>Kathrin</t>
  </si>
  <si>
    <t>Leonyssa</t>
  </si>
  <si>
    <t>FAT 2</t>
  </si>
  <si>
    <t>TERM MARK</t>
  </si>
  <si>
    <t>40% + 60%</t>
  </si>
  <si>
    <t>FAT  1</t>
  </si>
  <si>
    <t>FAT 1</t>
  </si>
  <si>
    <t>CLASSROOM: CAT</t>
  </si>
  <si>
    <t>Gopal</t>
  </si>
  <si>
    <t>TERM 1 MARK</t>
  </si>
  <si>
    <t>Theory Exam</t>
  </si>
  <si>
    <t>Prac Exam</t>
  </si>
  <si>
    <t xml:space="preserve">TERM 2 (20% FAT 1, 40% P1, 40% P2)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</si>
  <si>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</si>
  <si>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FAT 1
</t>
  </si>
  <si>
    <t>TERM 3</t>
  </si>
  <si>
    <t>Jaide</t>
  </si>
  <si>
    <t>Contreras</t>
  </si>
  <si>
    <t>Term 3</t>
  </si>
  <si>
    <t>Exam 
60</t>
  </si>
  <si>
    <t>Term 4</t>
  </si>
  <si>
    <t>FINAL MARK</t>
  </si>
  <si>
    <t>FAT 1 
30</t>
  </si>
  <si>
    <t>NO Exam</t>
  </si>
  <si>
    <t>Libilo</t>
  </si>
  <si>
    <t>Sergio</t>
  </si>
  <si>
    <t>Dante</t>
  </si>
  <si>
    <t xml:space="preserve">Missing: </t>
  </si>
  <si>
    <t>Alan new guy</t>
  </si>
  <si>
    <t>t1</t>
  </si>
  <si>
    <t>t2</t>
  </si>
  <si>
    <t>t3</t>
  </si>
  <si>
    <t>FAT 1
50</t>
  </si>
  <si>
    <t>FAT 2
60</t>
  </si>
  <si>
    <t>TERM 1</t>
  </si>
  <si>
    <t>out</t>
  </si>
  <si>
    <t>CLASSROOM: ICT</t>
  </si>
  <si>
    <t>Mrs Carla</t>
  </si>
  <si>
    <t>TERM 2</t>
  </si>
  <si>
    <t>FAT 1
/40</t>
  </si>
  <si>
    <t xml:space="preserve"> </t>
  </si>
  <si>
    <t/>
  </si>
  <si>
    <t>FILE AND FOLDER MANAGEMENT (20)</t>
  </si>
  <si>
    <t>WORD PROCESSING (50)</t>
  </si>
  <si>
    <t>HTML  (20)</t>
  </si>
  <si>
    <t>SYSTEM TECH  (25)</t>
  </si>
  <si>
    <t>DATABASE  (40)</t>
  </si>
  <si>
    <t>File &amp; Folder Mgmt</t>
  </si>
  <si>
    <t>Word Processing</t>
  </si>
  <si>
    <t>Spreadsheets</t>
  </si>
  <si>
    <t>Database</t>
  </si>
  <si>
    <t>HTML</t>
  </si>
  <si>
    <t>Multiple Choice</t>
  </si>
  <si>
    <t>Definitions</t>
  </si>
  <si>
    <t>System Tech</t>
  </si>
  <si>
    <t>Network Tech</t>
  </si>
  <si>
    <t>Info Management</t>
  </si>
  <si>
    <t>Social Implications</t>
  </si>
  <si>
    <t>Solution Dev.</t>
  </si>
  <si>
    <t>Scenario 1</t>
  </si>
  <si>
    <t>Scenario 2</t>
  </si>
  <si>
    <t>FAT1 (30%)</t>
  </si>
  <si>
    <t>Practical (35%)</t>
  </si>
  <si>
    <t>Theory (35%)</t>
  </si>
  <si>
    <t>Female Student 1</t>
  </si>
  <si>
    <t>Female Student 2</t>
  </si>
  <si>
    <t>Female Student 3</t>
  </si>
  <si>
    <t>Female Student 4</t>
  </si>
  <si>
    <t>Female Student 5</t>
  </si>
  <si>
    <t>Female Student 6</t>
  </si>
  <si>
    <t>Female Student 7</t>
  </si>
  <si>
    <t>Female Student 8</t>
  </si>
  <si>
    <t>Female Student 9</t>
  </si>
  <si>
    <t>Female Student 10</t>
  </si>
  <si>
    <t>Female Student 11</t>
  </si>
  <si>
    <t>Female Student 12</t>
  </si>
  <si>
    <t>Female Student 13</t>
  </si>
  <si>
    <t>Female Student 14</t>
  </si>
  <si>
    <t>Female Student 15</t>
  </si>
  <si>
    <t>Female Student 16</t>
  </si>
  <si>
    <t>Female Student 17</t>
  </si>
  <si>
    <t>Female Student 18</t>
  </si>
  <si>
    <t>Female Student 19</t>
  </si>
  <si>
    <t>Female Student 20</t>
  </si>
  <si>
    <t>Female Student 21</t>
  </si>
  <si>
    <t>Female Student 22</t>
  </si>
  <si>
    <t>Female Student 23</t>
  </si>
  <si>
    <t>Female Student 24</t>
  </si>
  <si>
    <t>Female Student 25</t>
  </si>
  <si>
    <t>Female Student 26</t>
  </si>
  <si>
    <t>Female Student 27</t>
  </si>
  <si>
    <t>Female Student 28</t>
  </si>
  <si>
    <t>Male Student 1</t>
  </si>
  <si>
    <t>Male Student 2</t>
  </si>
  <si>
    <t>Male Student 3</t>
  </si>
  <si>
    <t>Male Student 4</t>
  </si>
  <si>
    <t>Male Student 5</t>
  </si>
  <si>
    <t>Male Student 6</t>
  </si>
  <si>
    <t>Male Student 7</t>
  </si>
  <si>
    <t>Male Student 8</t>
  </si>
  <si>
    <t>Male Student 9</t>
  </si>
  <si>
    <t>Male Student 10</t>
  </si>
  <si>
    <t>Male Student 11</t>
  </si>
  <si>
    <t>Male Student 12</t>
  </si>
  <si>
    <t>Male Student 13</t>
  </si>
  <si>
    <t>Male Student 14</t>
  </si>
  <si>
    <t>Male Student 15</t>
  </si>
  <si>
    <t>Male Student 16</t>
  </si>
  <si>
    <t>Male Student 17</t>
  </si>
  <si>
    <t>Male Student 18</t>
  </si>
  <si>
    <t>Male Student 19</t>
  </si>
  <si>
    <t>Male Student 20</t>
  </si>
  <si>
    <t>Male Student 21</t>
  </si>
  <si>
    <t>Male Student 22</t>
  </si>
  <si>
    <t>Male Student 23</t>
  </si>
  <si>
    <t>Male Student 24</t>
  </si>
  <si>
    <t>Male Student 25</t>
  </si>
  <si>
    <t>Male Student 26</t>
  </si>
  <si>
    <t>Male Student 27</t>
  </si>
  <si>
    <t>Male Student 28</t>
  </si>
  <si>
    <t>Male Student 29</t>
  </si>
  <si>
    <t>Male Student 30</t>
  </si>
  <si>
    <t>Male Student 31</t>
  </si>
  <si>
    <t>SPEADSHEETS  (50)</t>
  </si>
  <si>
    <t>TOTAL  (180)</t>
  </si>
  <si>
    <t>PRAC EXAM MARK  (%)</t>
  </si>
  <si>
    <t>MULTIPLE CHOICE  (15)</t>
  </si>
  <si>
    <t>DEFINITIONS  (10)</t>
  </si>
  <si>
    <t>NETWORK TECH  (15)</t>
  </si>
  <si>
    <t xml:space="preserve">INFO MANAGEMENT  (10) </t>
  </si>
  <si>
    <t>SOCIAL IMPLICATIONS  (10)</t>
  </si>
  <si>
    <t xml:space="preserve">SOLUTION DEV.  (15)  </t>
  </si>
  <si>
    <t>SCENARIO 1  (30)</t>
  </si>
  <si>
    <t>SCENARIO 2  (20)</t>
  </si>
  <si>
    <t>TOTAL  (150)</t>
  </si>
  <si>
    <t>THEORY EXAM MARK  (%)</t>
  </si>
  <si>
    <t>FAT  (%)</t>
  </si>
  <si>
    <t>FAT 1  (50)</t>
  </si>
  <si>
    <t>TERM 1 MARK  (%)</t>
  </si>
  <si>
    <t>FAT 2  (50)</t>
  </si>
  <si>
    <t>Terminology2  (20)</t>
  </si>
  <si>
    <t>Total FAT1  (45)</t>
  </si>
  <si>
    <t>Terminology  (20)</t>
  </si>
  <si>
    <t>FAT 1  (25)</t>
  </si>
  <si>
    <t>TERM MARK(%)</t>
  </si>
  <si>
    <t>‚</t>
  </si>
  <si>
    <t>TERM 2 MARK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</si>
</sst>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%"/>
  </numFmts>
  <fonts count="19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 Unicode MS"/>
      <family val="2"/>
    </font>
    <font>
      <sz val="11"/>
      <color theme="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41" fontId="15" fillId="0" borderId="0" applyFont="0" applyFill="0" applyBorder="0" applyAlignment="0" applyProtection="0"/>
  </cellStyleXfs>
  <cellXfs count="34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0" fontId="4" fillId="2" borderId="0" xfId="0" applyFont="1" applyFill="1"/>
    <xf numFmtId="0" fontId="5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2" xfId="0" applyBorder="1"/>
    <xf numFmtId="1" fontId="0" fillId="0" borderId="2" xfId="0" applyNumberForma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3" fillId="0" borderId="3" xfId="0" applyFont="1" applyBorder="1" applyAlignment="1">
      <alignment horizontal="right"/>
    </xf>
    <xf numFmtId="0" fontId="0" fillId="3" borderId="0" xfId="0" applyFill="1"/>
    <xf numFmtId="0" fontId="8" fillId="3" borderId="0" xfId="0" applyFont="1" applyFill="1"/>
    <xf numFmtId="0" fontId="0" fillId="4" borderId="0" xfId="0" applyFill="1"/>
    <xf numFmtId="0" fontId="8" fillId="4" borderId="0" xfId="0" applyFont="1" applyFill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15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0" fillId="0" borderId="27" xfId="0" applyBorder="1"/>
    <xf numFmtId="0" fontId="10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left"/>
    </xf>
    <xf numFmtId="0" fontId="0" fillId="0" borderId="33" xfId="0" applyBorder="1"/>
    <xf numFmtId="0" fontId="4" fillId="6" borderId="3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  <xf numFmtId="9" fontId="0" fillId="0" borderId="10" xfId="1" applyFont="1" applyBorder="1" applyAlignment="1"/>
    <xf numFmtId="0" fontId="9" fillId="0" borderId="35" xfId="0" applyFont="1" applyBorder="1" applyAlignment="1">
      <alignment horizontal="center" vertical="center" wrapText="1"/>
    </xf>
    <xf numFmtId="9" fontId="0" fillId="0" borderId="0" xfId="1" applyFont="1" applyBorder="1" applyAlignment="1"/>
    <xf numFmtId="0" fontId="3" fillId="0" borderId="7" xfId="0" applyFont="1" applyBorder="1" applyAlignment="1">
      <alignment horizontal="left"/>
    </xf>
    <xf numFmtId="0" fontId="8" fillId="0" borderId="9" xfId="0" applyFont="1" applyBorder="1"/>
    <xf numFmtId="2" fontId="0" fillId="0" borderId="9" xfId="0" applyNumberFormat="1" applyBorder="1"/>
    <xf numFmtId="0" fontId="0" fillId="0" borderId="13" xfId="0" applyBorder="1"/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9" fontId="8" fillId="0" borderId="14" xfId="1" applyFont="1" applyFill="1" applyBorder="1" applyAlignment="1"/>
    <xf numFmtId="9" fontId="0" fillId="0" borderId="14" xfId="1" applyFont="1" applyFill="1" applyBorder="1" applyAlignment="1"/>
    <xf numFmtId="0" fontId="0" fillId="0" borderId="0" xfId="0" applyAlignment="1">
      <alignment horizontal="center" vertical="center"/>
    </xf>
    <xf numFmtId="0" fontId="0" fillId="0" borderId="40" xfId="0" applyBorder="1"/>
    <xf numFmtId="0" fontId="0" fillId="3" borderId="9" xfId="0" applyFill="1" applyBorder="1"/>
    <xf numFmtId="0" fontId="0" fillId="0" borderId="8" xfId="0" applyBorder="1"/>
    <xf numFmtId="0" fontId="0" fillId="0" borderId="41" xfId="0" applyBorder="1"/>
    <xf numFmtId="0" fontId="0" fillId="0" borderId="42" xfId="0" applyBorder="1"/>
    <xf numFmtId="9" fontId="0" fillId="0" borderId="14" xfId="1" applyFont="1" applyBorder="1" applyAlignment="1"/>
    <xf numFmtId="0" fontId="9" fillId="0" borderId="37" xfId="0" applyFont="1" applyBorder="1" applyAlignment="1">
      <alignment horizontal="center" vertical="center" wrapText="1"/>
    </xf>
    <xf numFmtId="0" fontId="0" fillId="5" borderId="9" xfId="0" applyFill="1" applyBorder="1"/>
    <xf numFmtId="0" fontId="6" fillId="5" borderId="1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9" fillId="0" borderId="18" xfId="0" applyFont="1" applyBorder="1" applyAlignment="1">
      <alignment horizontal="center" vertical="center" wrapText="1"/>
    </xf>
    <xf numFmtId="9" fontId="0" fillId="0" borderId="12" xfId="1" applyFont="1" applyBorder="1" applyAlignment="1"/>
    <xf numFmtId="0" fontId="0" fillId="0" borderId="50" xfId="0" applyBorder="1"/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1" fontId="0" fillId="0" borderId="8" xfId="0" applyNumberFormat="1" applyBorder="1"/>
    <xf numFmtId="1" fontId="0" fillId="0" borderId="26" xfId="0" applyNumberFormat="1" applyBorder="1" applyAlignment="1">
      <alignment horizontal="center"/>
    </xf>
    <xf numFmtId="1" fontId="0" fillId="0" borderId="9" xfId="0" applyNumberFormat="1" applyBorder="1"/>
    <xf numFmtId="1" fontId="0" fillId="0" borderId="10" xfId="0" applyNumberFormat="1" applyBorder="1" applyAlignment="1">
      <alignment horizontal="center"/>
    </xf>
    <xf numFmtId="1" fontId="0" fillId="0" borderId="53" xfId="0" applyNumberFormat="1" applyBorder="1"/>
    <xf numFmtId="1" fontId="0" fillId="0" borderId="11" xfId="0" applyNumberFormat="1" applyBorder="1"/>
    <xf numFmtId="1" fontId="0" fillId="0" borderId="12" xfId="0" applyNumberFormat="1" applyBorder="1" applyAlignment="1">
      <alignment horizontal="center"/>
    </xf>
    <xf numFmtId="0" fontId="8" fillId="0" borderId="35" xfId="0" applyFont="1" applyBorder="1" applyAlignment="1">
      <alignment horizontal="center"/>
    </xf>
    <xf numFmtId="1" fontId="9" fillId="0" borderId="49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wrapText="1"/>
    </xf>
    <xf numFmtId="1" fontId="0" fillId="0" borderId="54" xfId="0" applyNumberFormat="1" applyBorder="1" applyAlignment="1">
      <alignment horizontal="center"/>
    </xf>
    <xf numFmtId="0" fontId="0" fillId="0" borderId="55" xfId="0" applyBorder="1"/>
    <xf numFmtId="9" fontId="0" fillId="0" borderId="56" xfId="1" applyFont="1" applyFill="1" applyBorder="1" applyAlignment="1"/>
    <xf numFmtId="0" fontId="3" fillId="0" borderId="2" xfId="0" applyFont="1" applyBorder="1" applyAlignment="1">
      <alignment horizontal="left"/>
    </xf>
    <xf numFmtId="9" fontId="0" fillId="0" borderId="2" xfId="1" applyFont="1" applyFill="1" applyBorder="1" applyAlignment="1"/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9" fillId="0" borderId="55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/>
    </xf>
    <xf numFmtId="0" fontId="3" fillId="0" borderId="29" xfId="0" applyFont="1" applyBorder="1" applyAlignment="1">
      <alignment horizontal="left"/>
    </xf>
    <xf numFmtId="1" fontId="0" fillId="0" borderId="31" xfId="0" applyNumberFormat="1" applyBorder="1" applyAlignment="1">
      <alignment horizontal="center"/>
    </xf>
    <xf numFmtId="0" fontId="0" fillId="0" borderId="58" xfId="0" applyBorder="1"/>
    <xf numFmtId="9" fontId="0" fillId="0" borderId="26" xfId="1" applyFont="1" applyFill="1" applyBorder="1" applyAlignment="1"/>
    <xf numFmtId="0" fontId="3" fillId="0" borderId="32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2" fontId="0" fillId="0" borderId="0" xfId="0" applyNumberFormat="1"/>
    <xf numFmtId="0" fontId="8" fillId="0" borderId="0" xfId="0" applyFont="1"/>
    <xf numFmtId="0" fontId="3" fillId="0" borderId="59" xfId="0" applyFont="1" applyBorder="1" applyAlignment="1">
      <alignment horizontal="left"/>
    </xf>
    <xf numFmtId="0" fontId="0" fillId="7" borderId="0" xfId="0" applyFill="1"/>
    <xf numFmtId="0" fontId="3" fillId="0" borderId="9" xfId="0" applyFont="1" applyBorder="1" applyAlignment="1">
      <alignment horizontal="left"/>
    </xf>
    <xf numFmtId="1" fontId="9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1" fontId="0" fillId="0" borderId="33" xfId="0" applyNumberFormat="1" applyBorder="1" applyAlignment="1">
      <alignment horizontal="center"/>
    </xf>
    <xf numFmtId="9" fontId="0" fillId="0" borderId="33" xfId="1" applyFont="1" applyFill="1" applyBorder="1" applyAlignment="1"/>
    <xf numFmtId="1" fontId="9" fillId="0" borderId="12" xfId="0" applyNumberFormat="1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9" fontId="0" fillId="0" borderId="26" xfId="1" applyFont="1" applyBorder="1" applyAlignment="1"/>
    <xf numFmtId="0" fontId="9" fillId="0" borderId="15" xfId="0" applyFont="1" applyBorder="1" applyAlignment="1">
      <alignment horizontal="center" wrapText="1"/>
    </xf>
    <xf numFmtId="0" fontId="12" fillId="0" borderId="37" xfId="0" applyFont="1" applyBorder="1" applyAlignment="1">
      <alignment horizontal="center" vertical="center" wrapText="1"/>
    </xf>
    <xf numFmtId="9" fontId="0" fillId="0" borderId="34" xfId="1" applyFont="1" applyBorder="1" applyAlignment="1"/>
    <xf numFmtId="9" fontId="0" fillId="0" borderId="16" xfId="1" applyFont="1" applyBorder="1" applyAlignment="1"/>
    <xf numFmtId="9" fontId="0" fillId="0" borderId="17" xfId="1" applyFont="1" applyBorder="1" applyAlignment="1"/>
    <xf numFmtId="0" fontId="9" fillId="0" borderId="0" xfId="0" applyFont="1"/>
    <xf numFmtId="0" fontId="0" fillId="0" borderId="60" xfId="0" applyBorder="1"/>
    <xf numFmtId="0" fontId="12" fillId="0" borderId="35" xfId="0" applyFont="1" applyBorder="1" applyAlignment="1">
      <alignment horizontal="center" vertical="center" wrapText="1"/>
    </xf>
    <xf numFmtId="0" fontId="0" fillId="3" borderId="11" xfId="0" applyFill="1" applyBorder="1"/>
    <xf numFmtId="0" fontId="0" fillId="0" borderId="63" xfId="0" applyBorder="1"/>
    <xf numFmtId="0" fontId="12" fillId="0" borderId="6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/>
    </xf>
    <xf numFmtId="0" fontId="12" fillId="0" borderId="26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55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1" fontId="0" fillId="0" borderId="61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0" fillId="3" borderId="8" xfId="0" applyFill="1" applyBorder="1"/>
    <xf numFmtId="0" fontId="0" fillId="7" borderId="9" xfId="0" applyFill="1" applyBorder="1"/>
    <xf numFmtId="0" fontId="0" fillId="5" borderId="13" xfId="0" applyFill="1" applyBorder="1"/>
    <xf numFmtId="0" fontId="4" fillId="0" borderId="55" xfId="0" applyFont="1" applyBorder="1"/>
    <xf numFmtId="0" fontId="4" fillId="0" borderId="9" xfId="0" applyFont="1" applyBorder="1"/>
    <xf numFmtId="0" fontId="4" fillId="6" borderId="54" xfId="0" applyFont="1" applyFill="1" applyBorder="1"/>
    <xf numFmtId="0" fontId="4" fillId="0" borderId="2" xfId="0" applyFont="1" applyBorder="1"/>
    <xf numFmtId="0" fontId="3" fillId="6" borderId="33" xfId="0" applyFont="1" applyFill="1" applyBorder="1" applyAlignment="1">
      <alignment horizontal="left"/>
    </xf>
    <xf numFmtId="0" fontId="0" fillId="3" borderId="2" xfId="0" applyFill="1" applyBorder="1"/>
    <xf numFmtId="0" fontId="7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9" fillId="0" borderId="62" xfId="0" applyFont="1" applyBorder="1" applyAlignment="1">
      <alignment horizontal="center" vertical="center" wrapText="1"/>
    </xf>
    <xf numFmtId="0" fontId="0" fillId="0" borderId="12" xfId="0" applyBorder="1"/>
    <xf numFmtId="0" fontId="8" fillId="3" borderId="9" xfId="0" applyFont="1" applyFill="1" applyBorder="1"/>
    <xf numFmtId="9" fontId="0" fillId="0" borderId="19" xfId="1" applyFont="1" applyBorder="1" applyAlignment="1"/>
    <xf numFmtId="9" fontId="0" fillId="0" borderId="26" xfId="1" applyFont="1" applyBorder="1"/>
    <xf numFmtId="9" fontId="0" fillId="0" borderId="10" xfId="1" applyFont="1" applyBorder="1"/>
    <xf numFmtId="9" fontId="0" fillId="0" borderId="12" xfId="1" applyFont="1" applyBorder="1"/>
    <xf numFmtId="0" fontId="0" fillId="0" borderId="0" xfId="0" applyAlignment="1">
      <alignment wrapText="1"/>
    </xf>
    <xf numFmtId="0" fontId="10" fillId="0" borderId="69" xfId="0" applyFont="1" applyBorder="1" applyAlignment="1">
      <alignment horizontal="center" vertical="center"/>
    </xf>
    <xf numFmtId="1" fontId="13" fillId="0" borderId="0" xfId="0" applyNumberFormat="1" applyFont="1" applyAlignment="1">
      <alignment horizontal="center"/>
    </xf>
    <xf numFmtId="9" fontId="9" fillId="0" borderId="2" xfId="1" applyFont="1" applyBorder="1" applyAlignment="1"/>
    <xf numFmtId="0" fontId="0" fillId="8" borderId="9" xfId="0" applyFill="1" applyBorder="1"/>
    <xf numFmtId="9" fontId="0" fillId="3" borderId="0" xfId="1" applyFont="1" applyFill="1" applyBorder="1" applyAlignment="1"/>
    <xf numFmtId="9" fontId="0" fillId="0" borderId="0" xfId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9" fillId="0" borderId="46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9" fontId="0" fillId="0" borderId="36" xfId="1" applyFont="1" applyBorder="1" applyAlignment="1"/>
    <xf numFmtId="9" fontId="0" fillId="3" borderId="36" xfId="1" applyFont="1" applyFill="1" applyBorder="1" applyAlignment="1"/>
    <xf numFmtId="0" fontId="0" fillId="0" borderId="72" xfId="0" applyBorder="1" applyAlignment="1">
      <alignment horizontal="center"/>
    </xf>
    <xf numFmtId="9" fontId="0" fillId="0" borderId="67" xfId="1" applyFont="1" applyFill="1" applyBorder="1" applyAlignment="1"/>
    <xf numFmtId="0" fontId="0" fillId="0" borderId="46" xfId="0" applyBorder="1"/>
    <xf numFmtId="0" fontId="8" fillId="0" borderId="50" xfId="0" applyFont="1" applyBorder="1"/>
    <xf numFmtId="0" fontId="0" fillId="0" borderId="73" xfId="0" applyBorder="1"/>
    <xf numFmtId="1" fontId="9" fillId="0" borderId="49" xfId="0" applyNumberFormat="1" applyFont="1" applyBorder="1" applyAlignment="1">
      <alignment horizontal="center" vertical="center"/>
    </xf>
    <xf numFmtId="1" fontId="9" fillId="0" borderId="47" xfId="0" applyNumberFormat="1" applyFont="1" applyBorder="1" applyAlignment="1">
      <alignment horizontal="center" vertical="center"/>
    </xf>
    <xf numFmtId="1" fontId="9" fillId="0" borderId="48" xfId="0" applyNumberFormat="1" applyFont="1" applyBorder="1" applyAlignment="1">
      <alignment horizontal="center" vertical="center"/>
    </xf>
    <xf numFmtId="0" fontId="0" fillId="0" borderId="65" xfId="0" applyBorder="1" applyAlignment="1">
      <alignment horizontal="center"/>
    </xf>
    <xf numFmtId="0" fontId="8" fillId="0" borderId="49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" fontId="12" fillId="0" borderId="49" xfId="0" applyNumberFormat="1" applyFont="1" applyBorder="1" applyAlignment="1">
      <alignment horizontal="center" vertical="center"/>
    </xf>
    <xf numFmtId="1" fontId="12" fillId="0" borderId="47" xfId="0" applyNumberFormat="1" applyFont="1" applyBorder="1" applyAlignment="1">
      <alignment horizontal="center" vertical="center"/>
    </xf>
    <xf numFmtId="1" fontId="12" fillId="0" borderId="48" xfId="0" applyNumberFormat="1" applyFont="1" applyBorder="1" applyAlignment="1">
      <alignment horizontal="center" vertical="center"/>
    </xf>
    <xf numFmtId="0" fontId="12" fillId="0" borderId="38" xfId="0" applyFont="1" applyBorder="1" applyAlignment="1">
      <alignment horizontal="center" wrapText="1"/>
    </xf>
    <xf numFmtId="0" fontId="12" fillId="0" borderId="58" xfId="0" applyFont="1" applyBorder="1" applyAlignment="1">
      <alignment horizontal="center" wrapText="1"/>
    </xf>
    <xf numFmtId="9" fontId="0" fillId="0" borderId="2" xfId="1" applyFont="1" applyBorder="1"/>
    <xf numFmtId="9" fontId="0" fillId="0" borderId="27" xfId="1" applyFont="1" applyBorder="1"/>
    <xf numFmtId="0" fontId="8" fillId="0" borderId="2" xfId="0" applyFont="1" applyBorder="1"/>
    <xf numFmtId="0" fontId="0" fillId="0" borderId="2" xfId="1" applyNumberFormat="1" applyFont="1" applyBorder="1"/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9" fillId="0" borderId="60" xfId="0" applyFont="1" applyBorder="1" applyAlignment="1">
      <alignment horizontal="center" wrapText="1"/>
    </xf>
    <xf numFmtId="0" fontId="12" fillId="0" borderId="43" xfId="0" applyFont="1" applyBorder="1" applyAlignment="1">
      <alignment horizontal="center" wrapText="1"/>
    </xf>
    <xf numFmtId="0" fontId="0" fillId="3" borderId="40" xfId="0" applyFill="1" applyBorder="1"/>
    <xf numFmtId="0" fontId="8" fillId="0" borderId="40" xfId="0" applyFont="1" applyBorder="1"/>
    <xf numFmtId="9" fontId="0" fillId="3" borderId="27" xfId="1" applyFont="1" applyFill="1" applyBorder="1"/>
    <xf numFmtId="0" fontId="3" fillId="9" borderId="1" xfId="0" applyFont="1" applyFill="1" applyBorder="1" applyAlignment="1">
      <alignment horizontal="left"/>
    </xf>
    <xf numFmtId="0" fontId="4" fillId="9" borderId="1" xfId="0" applyFont="1" applyFill="1" applyBorder="1"/>
    <xf numFmtId="0" fontId="4" fillId="10" borderId="1" xfId="0" applyFont="1" applyFill="1" applyBorder="1"/>
    <xf numFmtId="0" fontId="3" fillId="10" borderId="1" xfId="0" applyFont="1" applyFill="1" applyBorder="1" applyAlignment="1">
      <alignment horizontal="left"/>
    </xf>
    <xf numFmtId="0" fontId="1" fillId="2" borderId="0" xfId="0" applyFont="1" applyFill="1"/>
    <xf numFmtId="0" fontId="3" fillId="9" borderId="31" xfId="0" applyFont="1" applyFill="1" applyBorder="1" applyAlignment="1">
      <alignment horizontal="left"/>
    </xf>
    <xf numFmtId="0" fontId="0" fillId="0" borderId="0" xfId="1" applyNumberFormat="1" applyFont="1"/>
    <xf numFmtId="9" fontId="0" fillId="8" borderId="10" xfId="1" applyFont="1" applyFill="1" applyBorder="1"/>
    <xf numFmtId="0" fontId="8" fillId="0" borderId="11" xfId="0" applyFont="1" applyBorder="1"/>
    <xf numFmtId="0" fontId="0" fillId="0" borderId="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2" xfId="0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43" xfId="0" applyFont="1" applyBorder="1" applyAlignment="1">
      <alignment horizontal="center" wrapText="1"/>
    </xf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9" fontId="0" fillId="0" borderId="19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33" xfId="1" applyNumberFormat="1" applyFont="1" applyBorder="1"/>
    <xf numFmtId="0" fontId="0" fillId="5" borderId="2" xfId="0" applyFill="1" applyBorder="1"/>
    <xf numFmtId="1" fontId="0" fillId="0" borderId="68" xfId="1" applyNumberFormat="1" applyFont="1" applyBorder="1"/>
    <xf numFmtId="0" fontId="9" fillId="0" borderId="13" xfId="0" applyFont="1" applyBorder="1"/>
    <xf numFmtId="0" fontId="0" fillId="0" borderId="74" xfId="0" applyBorder="1"/>
    <xf numFmtId="1" fontId="0" fillId="0" borderId="63" xfId="0" applyNumberFormat="1" applyBorder="1"/>
    <xf numFmtId="0" fontId="9" fillId="0" borderId="37" xfId="0" applyFont="1" applyBorder="1"/>
    <xf numFmtId="0" fontId="0" fillId="0" borderId="0" xfId="0" quotePrefix="1"/>
    <xf numFmtId="0" fontId="10" fillId="0" borderId="7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8" fillId="0" borderId="14" xfId="1" applyNumberFormat="1" applyFont="1" applyBorder="1"/>
    <xf numFmtId="0" fontId="0" fillId="0" borderId="14" xfId="1" applyNumberFormat="1" applyFont="1" applyBorder="1"/>
    <xf numFmtId="0" fontId="0" fillId="4" borderId="14" xfId="1" applyNumberFormat="1" applyFont="1" applyFill="1" applyBorder="1"/>
    <xf numFmtId="0" fontId="0" fillId="0" borderId="33" xfId="1" applyNumberFormat="1" applyFont="1" applyBorder="1"/>
    <xf numFmtId="41" fontId="0" fillId="0" borderId="0" xfId="2" applyFont="1"/>
    <xf numFmtId="0" fontId="8" fillId="4" borderId="14" xfId="1" applyNumberFormat="1" applyFont="1" applyFill="1" applyBorder="1"/>
    <xf numFmtId="0" fontId="10" fillId="0" borderId="75" xfId="0" applyFont="1" applyBorder="1" applyAlignment="1">
      <alignment horizontal="center" vertical="center"/>
    </xf>
    <xf numFmtId="0" fontId="3" fillId="0" borderId="60" xfId="0" applyFont="1" applyBorder="1" applyAlignment="1">
      <alignment horizontal="right"/>
    </xf>
    <xf numFmtId="0" fontId="3" fillId="0" borderId="40" xfId="0" applyFont="1" applyBorder="1" applyAlignment="1">
      <alignment horizontal="right"/>
    </xf>
    <xf numFmtId="1" fontId="9" fillId="4" borderId="19" xfId="1" applyNumberFormat="1" applyFont="1" applyFill="1" applyBorder="1" applyAlignment="1">
      <alignment horizontal="center"/>
    </xf>
    <xf numFmtId="0" fontId="10" fillId="0" borderId="76" xfId="0" applyFont="1" applyBorder="1" applyAlignment="1">
      <alignment horizontal="center" vertical="center"/>
    </xf>
    <xf numFmtId="0" fontId="3" fillId="0" borderId="77" xfId="0" applyFont="1" applyBorder="1" applyAlignment="1">
      <alignment horizontal="right"/>
    </xf>
    <xf numFmtId="0" fontId="3" fillId="0" borderId="78" xfId="0" applyFont="1" applyBorder="1" applyAlignment="1">
      <alignment horizontal="right"/>
    </xf>
    <xf numFmtId="0" fontId="3" fillId="0" borderId="79" xfId="0" applyFont="1" applyBorder="1" applyAlignment="1">
      <alignment horizontal="right"/>
    </xf>
    <xf numFmtId="1" fontId="9" fillId="0" borderId="19" xfId="1" applyNumberFormat="1" applyFont="1" applyBorder="1" applyAlignment="1">
      <alignment horizontal="center"/>
    </xf>
    <xf numFmtId="9" fontId="9" fillId="5" borderId="2" xfId="1" applyFont="1" applyFill="1" applyBorder="1" applyAlignment="1"/>
    <xf numFmtId="9" fontId="9" fillId="0" borderId="33" xfId="1" applyFont="1" applyBorder="1" applyAlignment="1"/>
    <xf numFmtId="1" fontId="9" fillId="0" borderId="14" xfId="1" applyNumberFormat="1" applyFont="1" applyBorder="1" applyAlignment="1">
      <alignment horizontal="center" vertical="center"/>
    </xf>
    <xf numFmtId="0" fontId="8" fillId="0" borderId="2" xfId="1" applyNumberFormat="1" applyFont="1" applyBorder="1"/>
    <xf numFmtId="0" fontId="8" fillId="5" borderId="2" xfId="1" applyNumberFormat="1" applyFont="1" applyFill="1" applyBorder="1"/>
    <xf numFmtId="0" fontId="8" fillId="0" borderId="33" xfId="1" applyNumberFormat="1" applyFont="1" applyBorder="1"/>
    <xf numFmtId="0" fontId="8" fillId="5" borderId="2" xfId="0" applyFont="1" applyFill="1" applyBorder="1"/>
    <xf numFmtId="0" fontId="8" fillId="0" borderId="33" xfId="0" applyFont="1" applyBorder="1"/>
    <xf numFmtId="9" fontId="9" fillId="0" borderId="14" xfId="1" applyFont="1" applyBorder="1"/>
    <xf numFmtId="9" fontId="9" fillId="4" borderId="14" xfId="1" applyFont="1" applyFill="1" applyBorder="1"/>
    <xf numFmtId="1" fontId="9" fillId="0" borderId="62" xfId="1" applyNumberFormat="1" applyFont="1" applyBorder="1" applyAlignment="1">
      <alignment horizontal="center"/>
    </xf>
    <xf numFmtId="1" fontId="9" fillId="0" borderId="74" xfId="1" applyNumberFormat="1" applyFont="1" applyBorder="1" applyAlignment="1">
      <alignment horizontal="center"/>
    </xf>
    <xf numFmtId="1" fontId="9" fillId="0" borderId="24" xfId="1" applyNumberFormat="1" applyFont="1" applyBorder="1" applyAlignment="1">
      <alignment horizontal="center"/>
    </xf>
    <xf numFmtId="0" fontId="8" fillId="0" borderId="63" xfId="0" applyFont="1" applyBorder="1"/>
    <xf numFmtId="0" fontId="9" fillId="0" borderId="14" xfId="1" applyNumberFormat="1" applyFont="1" applyBorder="1" applyAlignment="1">
      <alignment horizontal="right"/>
    </xf>
    <xf numFmtId="9" fontId="9" fillId="4" borderId="14" xfId="1" applyFont="1" applyFill="1" applyBorder="1" applyAlignment="1">
      <alignment horizontal="right"/>
    </xf>
    <xf numFmtId="0" fontId="8" fillId="4" borderId="14" xfId="1" applyNumberFormat="1" applyFont="1" applyFill="1" applyBorder="1" applyAlignment="1">
      <alignment horizontal="center"/>
    </xf>
    <xf numFmtId="0" fontId="8" fillId="0" borderId="14" xfId="1" applyNumberFormat="1" applyFont="1" applyBorder="1" applyAlignment="1">
      <alignment horizontal="right"/>
    </xf>
    <xf numFmtId="0" fontId="8" fillId="4" borderId="14" xfId="1" applyNumberFormat="1" applyFont="1" applyFill="1" applyBorder="1" applyAlignment="1">
      <alignment horizontal="right"/>
    </xf>
    <xf numFmtId="0" fontId="0" fillId="4" borderId="14" xfId="1" applyNumberFormat="1" applyFont="1" applyFill="1" applyBorder="1" applyAlignment="1">
      <alignment horizontal="center"/>
    </xf>
    <xf numFmtId="0" fontId="0" fillId="0" borderId="14" xfId="1" applyNumberFormat="1" applyFont="1" applyBorder="1" applyAlignment="1">
      <alignment horizontal="right"/>
    </xf>
    <xf numFmtId="1" fontId="0" fillId="0" borderId="19" xfId="1" applyNumberFormat="1" applyFont="1" applyBorder="1"/>
    <xf numFmtId="9" fontId="9" fillId="0" borderId="14" xfId="1" applyFont="1" applyBorder="1" applyAlignment="1">
      <alignment horizontal="right"/>
    </xf>
    <xf numFmtId="9" fontId="9" fillId="0" borderId="14" xfId="1" applyFont="1" applyBorder="1" applyAlignment="1">
      <alignment horizontal="center" wrapText="1"/>
    </xf>
    <xf numFmtId="0" fontId="16" fillId="12" borderId="0" xfId="0" applyFont="1" applyFill="1"/>
    <xf numFmtId="0" fontId="0" fillId="13" borderId="0" xfId="0" applyFill="1"/>
    <xf numFmtId="0" fontId="8" fillId="13" borderId="0" xfId="0" applyFont="1" applyFill="1"/>
    <xf numFmtId="164" fontId="17" fillId="13" borderId="0" xfId="0" applyNumberFormat="1" applyFont="1" applyFill="1"/>
    <xf numFmtId="0" fontId="0" fillId="13" borderId="0" xfId="2" applyNumberFormat="1" applyFont="1" applyFill="1"/>
    <xf numFmtId="0" fontId="0" fillId="12" borderId="0" xfId="0" applyFill="1"/>
    <xf numFmtId="0" fontId="18" fillId="12" borderId="0" xfId="0" applyFont="1" applyFill="1"/>
    <xf numFmtId="0" fontId="8" fillId="13" borderId="38" xfId="0" applyFont="1" applyFill="1" applyBorder="1"/>
    <xf numFmtId="164" fontId="17" fillId="13" borderId="39" xfId="0" applyNumberFormat="1" applyFont="1" applyFill="1" applyBorder="1"/>
    <xf numFmtId="0" fontId="8" fillId="13" borderId="22" xfId="0" applyFont="1" applyFill="1" applyBorder="1"/>
    <xf numFmtId="164" fontId="17" fillId="13" borderId="23" xfId="0" applyNumberFormat="1" applyFont="1" applyFill="1" applyBorder="1"/>
    <xf numFmtId="0" fontId="8" fillId="13" borderId="24" xfId="0" applyFont="1" applyFill="1" applyBorder="1"/>
    <xf numFmtId="164" fontId="17" fillId="13" borderId="25" xfId="0" applyNumberFormat="1" applyFont="1" applyFill="1" applyBorder="1"/>
    <xf numFmtId="0" fontId="0" fillId="13" borderId="38" xfId="0" applyFill="1" applyBorder="1"/>
    <xf numFmtId="164" fontId="0" fillId="13" borderId="39" xfId="1" applyNumberFormat="1" applyFont="1" applyFill="1" applyBorder="1"/>
    <xf numFmtId="0" fontId="0" fillId="13" borderId="22" xfId="0" applyFill="1" applyBorder="1"/>
    <xf numFmtId="164" fontId="0" fillId="13" borderId="23" xfId="1" applyNumberFormat="1" applyFont="1" applyFill="1" applyBorder="1"/>
    <xf numFmtId="0" fontId="0" fillId="13" borderId="24" xfId="0" applyFill="1" applyBorder="1"/>
    <xf numFmtId="164" fontId="0" fillId="13" borderId="25" xfId="1" applyNumberFormat="1" applyFont="1" applyFill="1" applyBorder="1"/>
    <xf numFmtId="164" fontId="8" fillId="13" borderId="38" xfId="0" applyNumberFormat="1" applyFont="1" applyFill="1" applyBorder="1"/>
    <xf numFmtId="164" fontId="8" fillId="13" borderId="22" xfId="0" applyNumberFormat="1" applyFont="1" applyFill="1" applyBorder="1"/>
    <xf numFmtId="164" fontId="8" fillId="13" borderId="23" xfId="1" applyNumberFormat="1" applyFont="1" applyFill="1" applyBorder="1"/>
    <xf numFmtId="164" fontId="8" fillId="13" borderId="24" xfId="0" applyNumberFormat="1" applyFont="1" applyFill="1" applyBorder="1"/>
    <xf numFmtId="164" fontId="8" fillId="13" borderId="25" xfId="1" applyNumberFormat="1" applyFont="1" applyFill="1" applyBorder="1"/>
    <xf numFmtId="0" fontId="9" fillId="0" borderId="2" xfId="0" applyFont="1" applyBorder="1"/>
    <xf numFmtId="0" fontId="9" fillId="0" borderId="2" xfId="1" applyNumberFormat="1" applyFont="1" applyBorder="1"/>
    <xf numFmtId="0" fontId="9" fillId="0" borderId="63" xfId="0" applyFont="1" applyBorder="1"/>
    <xf numFmtId="9" fontId="9" fillId="3" borderId="14" xfId="1" applyFont="1" applyFill="1" applyBorder="1"/>
    <xf numFmtId="0" fontId="8" fillId="4" borderId="80" xfId="1" applyNumberFormat="1" applyFont="1" applyFill="1" applyBorder="1"/>
    <xf numFmtId="0" fontId="8" fillId="4" borderId="27" xfId="1" applyNumberFormat="1" applyFont="1" applyFill="1" applyBorder="1"/>
    <xf numFmtId="0" fontId="8" fillId="4" borderId="27" xfId="1" applyNumberFormat="1" applyFont="1" applyFill="1" applyBorder="1" applyAlignment="1">
      <alignment horizontal="center"/>
    </xf>
    <xf numFmtId="9" fontId="9" fillId="4" borderId="13" xfId="1" applyFont="1" applyFill="1" applyBorder="1" applyAlignment="1">
      <alignment horizontal="right"/>
    </xf>
    <xf numFmtId="0" fontId="8" fillId="4" borderId="13" xfId="1" applyNumberFormat="1" applyFont="1" applyFill="1" applyBorder="1" applyAlignment="1">
      <alignment horizontal="right"/>
    </xf>
    <xf numFmtId="0" fontId="8" fillId="4" borderId="74" xfId="1" applyNumberFormat="1" applyFont="1" applyFill="1" applyBorder="1" applyAlignment="1">
      <alignment horizontal="right"/>
    </xf>
    <xf numFmtId="0" fontId="8" fillId="4" borderId="13" xfId="1" applyNumberFormat="1" applyFont="1" applyFill="1" applyBorder="1" applyAlignment="1">
      <alignment horizontal="center"/>
    </xf>
    <xf numFmtId="1" fontId="9" fillId="4" borderId="80" xfId="1" applyNumberFormat="1" applyFont="1" applyFill="1" applyBorder="1" applyAlignment="1">
      <alignment horizontal="right"/>
    </xf>
    <xf numFmtId="1" fontId="9" fillId="4" borderId="74" xfId="1" applyNumberFormat="1" applyFont="1" applyFill="1" applyBorder="1" applyAlignment="1">
      <alignment horizontal="center"/>
    </xf>
    <xf numFmtId="0" fontId="10" fillId="0" borderId="70" xfId="0" applyFont="1" applyBorder="1" applyAlignment="1">
      <alignment horizontal="center" vertical="center"/>
    </xf>
    <xf numFmtId="0" fontId="3" fillId="11" borderId="30" xfId="0" applyFont="1" applyFill="1" applyBorder="1" applyAlignment="1">
      <alignment horizontal="left"/>
    </xf>
    <xf numFmtId="0" fontId="3" fillId="11" borderId="81" xfId="0" applyFont="1" applyFill="1" applyBorder="1" applyAlignment="1">
      <alignment horizontal="left"/>
    </xf>
    <xf numFmtId="0" fontId="0" fillId="11" borderId="33" xfId="0" applyFill="1" applyBorder="1"/>
    <xf numFmtId="0" fontId="3" fillId="11" borderId="31" xfId="0" applyFont="1" applyFill="1" applyBorder="1" applyAlignment="1">
      <alignment horizontal="left"/>
    </xf>
    <xf numFmtId="0" fontId="8" fillId="0" borderId="45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0" borderId="62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0" fontId="9" fillId="0" borderId="21" xfId="0" applyFont="1" applyBorder="1" applyAlignment="1">
      <alignment horizontal="center"/>
    </xf>
  </cellXfs>
  <cellStyles count="3">
    <cellStyle name="Comma [0]" xfId="2" builtinId="6"/>
    <cellStyle name="Normal" xfId="0" builtinId="0"/>
    <cellStyle name="Percent" xfId="1" builtinId="5"/>
  </cellStyles>
  <dxfs count="7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/>
        <right style="medium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medium">
          <color indexed="64"/>
        </right>
        <top/>
        <bottom style="thin">
          <color indexed="64"/>
        </bottom>
      </border>
    </dxf>
    <dxf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border diagonalUp="0" diagonalDown="0">
        <left style="medium">
          <color indexed="64"/>
        </left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 tint="-0.34998626667073579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 outline="0">
        <left style="medium">
          <color indexed="64"/>
        </left>
        <right style="medium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border diagonalUp="0" diagonalDown="0" outline="0">
        <left/>
        <right style="medium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D9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PRAC COMPOS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Visuals!$D$1:$D$5</c:f>
              <c:strCache>
                <c:ptCount val="5"/>
                <c:pt idx="0">
                  <c:v>File &amp; Folder Mgmt</c:v>
                </c:pt>
                <c:pt idx="1">
                  <c:v>Word Processing</c:v>
                </c:pt>
                <c:pt idx="2">
                  <c:v>Spreadsheets</c:v>
                </c:pt>
                <c:pt idx="3">
                  <c:v>Database</c:v>
                </c:pt>
                <c:pt idx="4">
                  <c:v>HTML</c:v>
                </c:pt>
              </c:strCache>
            </c:strRef>
          </c:cat>
          <c:val>
            <c:numRef>
              <c:f>Visuals!$E$1:$E$5</c:f>
              <c:numCache>
                <c:formatCode>0.0%</c:formatCode>
                <c:ptCount val="5"/>
                <c:pt idx="0">
                  <c:v>0.85</c:v>
                </c:pt>
                <c:pt idx="1">
                  <c:v>0.36</c:v>
                </c:pt>
                <c:pt idx="2">
                  <c:v>0.54</c:v>
                </c:pt>
                <c:pt idx="3">
                  <c:v>7.4999999999999997E-2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2-254E-A503-5BFCF85A93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overlap val="100"/>
        <c:axId val="1396405583"/>
        <c:axId val="1395897455"/>
      </c:barChart>
      <c:catAx>
        <c:axId val="139640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RW"/>
          </a:p>
        </c:txPr>
        <c:crossAx val="1395897455"/>
        <c:crosses val="autoZero"/>
        <c:auto val="1"/>
        <c:lblAlgn val="ctr"/>
        <c:lblOffset val="100"/>
        <c:noMultiLvlLbl val="0"/>
      </c:catAx>
      <c:valAx>
        <c:axId val="1395897455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39640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THEORY COMPOS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0.14642057015023871"/>
          <c:y val="2.5075012950001311E-2"/>
          <c:w val="0.85357942984976132"/>
          <c:h val="0.5098644680362334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Visuals!$G$1:$G$9</c:f>
              <c:strCache>
                <c:ptCount val="9"/>
                <c:pt idx="0">
                  <c:v>Multiple Choice</c:v>
                </c:pt>
                <c:pt idx="1">
                  <c:v>Definitions</c:v>
                </c:pt>
                <c:pt idx="2">
                  <c:v>System Tech</c:v>
                </c:pt>
                <c:pt idx="3">
                  <c:v>Network Tech</c:v>
                </c:pt>
                <c:pt idx="4">
                  <c:v>Info Management</c:v>
                </c:pt>
                <c:pt idx="5">
                  <c:v>Social Implications</c:v>
                </c:pt>
                <c:pt idx="6">
                  <c:v>Solution Dev.</c:v>
                </c:pt>
                <c:pt idx="7">
                  <c:v>Scenario 1</c:v>
                </c:pt>
                <c:pt idx="8">
                  <c:v>Scenario 2</c:v>
                </c:pt>
              </c:strCache>
            </c:strRef>
          </c:cat>
          <c:val>
            <c:numRef>
              <c:f>Visuals!$H$1:$H$9</c:f>
              <c:numCache>
                <c:formatCode>0.0%</c:formatCode>
                <c:ptCount val="9"/>
                <c:pt idx="0">
                  <c:v>0.53333333333333333</c:v>
                </c:pt>
                <c:pt idx="1">
                  <c:v>0.5</c:v>
                </c:pt>
                <c:pt idx="2">
                  <c:v>0.44</c:v>
                </c:pt>
                <c:pt idx="3">
                  <c:v>0.6</c:v>
                </c:pt>
                <c:pt idx="4">
                  <c:v>1</c:v>
                </c:pt>
                <c:pt idx="5">
                  <c:v>0.7</c:v>
                </c:pt>
                <c:pt idx="6">
                  <c:v>0.33333333333333331</c:v>
                </c:pt>
                <c:pt idx="7">
                  <c:v>0.13333333333333333</c:v>
                </c:pt>
                <c:pt idx="8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0-334F-BC94-021F9B86F3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41328159"/>
        <c:axId val="1396140927"/>
      </c:barChart>
      <c:catAx>
        <c:axId val="84132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396140927"/>
        <c:crosses val="autoZero"/>
        <c:auto val="1"/>
        <c:lblAlgn val="ctr"/>
        <c:lblOffset val="100"/>
        <c:noMultiLvlLbl val="0"/>
      </c:catAx>
      <c:valAx>
        <c:axId val="139614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4132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TERM</a:t>
            </a:r>
            <a:r>
              <a:rPr lang="en-US" baseline="0"/>
              <a:t> 2 MARK COMPOS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FF-E241-BED2-451B60B655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FF-E241-BED2-451B60B655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FF-E241-BED2-451B60B655DC}"/>
              </c:ext>
            </c:extLst>
          </c:dPt>
          <c:cat>
            <c:strRef>
              <c:f>Visuals!$M$1:$M$3</c:f>
              <c:strCache>
                <c:ptCount val="3"/>
                <c:pt idx="0">
                  <c:v>FAT1 (30%)</c:v>
                </c:pt>
                <c:pt idx="1">
                  <c:v>Practical (35%)</c:v>
                </c:pt>
                <c:pt idx="2">
                  <c:v>Theory (35%)</c:v>
                </c:pt>
              </c:strCache>
            </c:strRef>
          </c:cat>
          <c:val>
            <c:numRef>
              <c:f>Visuals!$N$1:$N$3</c:f>
              <c:numCache>
                <c:formatCode>0.0%</c:formatCode>
                <c:ptCount val="3"/>
                <c:pt idx="0">
                  <c:v>8.4000000000000005E-2</c:v>
                </c:pt>
                <c:pt idx="1">
                  <c:v>0.12638888888888888</c:v>
                </c:pt>
                <c:pt idx="2">
                  <c:v>0.14699999999999999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2-E54E-9EC5-0D98DAFF1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0" i="0" u="none" strike="noStrike" kern="120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PRAC COMPOS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Visuals!$D$29:$D$33</c:f>
              <c:strCache>
                <c:ptCount val="5"/>
                <c:pt idx="0">
                  <c:v>File &amp; Folder Mgmt</c:v>
                </c:pt>
                <c:pt idx="1">
                  <c:v>Word Processing</c:v>
                </c:pt>
                <c:pt idx="2">
                  <c:v>Spreadsheets</c:v>
                </c:pt>
                <c:pt idx="3">
                  <c:v>Database</c:v>
                </c:pt>
                <c:pt idx="4">
                  <c:v>HTML</c:v>
                </c:pt>
              </c:strCache>
            </c:strRef>
          </c:cat>
          <c:val>
            <c:numRef>
              <c:f>Visuals!$E$29:$E$33</c:f>
              <c:numCache>
                <c:formatCode>0.0%</c:formatCode>
                <c:ptCount val="5"/>
                <c:pt idx="0">
                  <c:v>0.7</c:v>
                </c:pt>
                <c:pt idx="1">
                  <c:v>0.7</c:v>
                </c:pt>
                <c:pt idx="2">
                  <c:v>0.84</c:v>
                </c:pt>
                <c:pt idx="3">
                  <c:v>0.55000000000000004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9-014F-88DD-572F143E0A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06348704"/>
        <c:axId val="1925662544"/>
      </c:barChart>
      <c:catAx>
        <c:axId val="190634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RW"/>
          </a:p>
        </c:txPr>
        <c:crossAx val="1925662544"/>
        <c:crosses val="autoZero"/>
        <c:auto val="1"/>
        <c:lblAlgn val="ctr"/>
        <c:lblOffset val="100"/>
        <c:noMultiLvlLbl val="0"/>
      </c:catAx>
      <c:valAx>
        <c:axId val="1925662544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90634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THEORY COMPOS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Visuals!$G$29:$G$37</c:f>
              <c:strCache>
                <c:ptCount val="9"/>
                <c:pt idx="0">
                  <c:v>Multiple Choice</c:v>
                </c:pt>
                <c:pt idx="1">
                  <c:v>Definitions</c:v>
                </c:pt>
                <c:pt idx="2">
                  <c:v>System Tech</c:v>
                </c:pt>
                <c:pt idx="3">
                  <c:v>Network Tech</c:v>
                </c:pt>
                <c:pt idx="4">
                  <c:v>Info Management</c:v>
                </c:pt>
                <c:pt idx="5">
                  <c:v>Social Implications</c:v>
                </c:pt>
                <c:pt idx="6">
                  <c:v>Solution Dev.</c:v>
                </c:pt>
                <c:pt idx="7">
                  <c:v>Scenario 1</c:v>
                </c:pt>
                <c:pt idx="8">
                  <c:v>Scenario 2</c:v>
                </c:pt>
              </c:strCache>
            </c:strRef>
          </c:cat>
          <c:val>
            <c:numRef>
              <c:f>Visuals!$H$29:$H$37</c:f>
              <c:numCache>
                <c:formatCode>0.0%</c:formatCode>
                <c:ptCount val="9"/>
                <c:pt idx="0">
                  <c:v>0.73333333333333328</c:v>
                </c:pt>
                <c:pt idx="1">
                  <c:v>0.6</c:v>
                </c:pt>
                <c:pt idx="2">
                  <c:v>0.76</c:v>
                </c:pt>
                <c:pt idx="3">
                  <c:v>0.66666666666666663</c:v>
                </c:pt>
                <c:pt idx="4">
                  <c:v>0.6</c:v>
                </c:pt>
                <c:pt idx="5">
                  <c:v>0.7</c:v>
                </c:pt>
                <c:pt idx="6">
                  <c:v>0.73333333333333328</c:v>
                </c:pt>
                <c:pt idx="7">
                  <c:v>0.73333333333333328</c:v>
                </c:pt>
                <c:pt idx="8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7-BD46-A9A6-E3F2840799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30037344"/>
        <c:axId val="1791662992"/>
      </c:barChart>
      <c:catAx>
        <c:axId val="183003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791662992"/>
        <c:crosses val="autoZero"/>
        <c:auto val="1"/>
        <c:lblAlgn val="ctr"/>
        <c:lblOffset val="100"/>
        <c:noMultiLvlLbl val="0"/>
      </c:catAx>
      <c:valAx>
        <c:axId val="17916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83003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TERM 2 MARK COMPOS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49-EA47-92F6-D1E9A75BD4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49-EA47-92F6-D1E9A75BD4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49-EA47-92F6-D1E9A75BD4A2}"/>
              </c:ext>
            </c:extLst>
          </c:dPt>
          <c:cat>
            <c:strRef>
              <c:f>Visuals!$M$29:$M$31</c:f>
              <c:strCache>
                <c:ptCount val="3"/>
                <c:pt idx="0">
                  <c:v>FAT1 (30%)</c:v>
                </c:pt>
                <c:pt idx="1">
                  <c:v>Practical (35%)</c:v>
                </c:pt>
                <c:pt idx="2">
                  <c:v>Theory (35%)</c:v>
                </c:pt>
              </c:strCache>
            </c:strRef>
          </c:cat>
          <c:val>
            <c:numRef>
              <c:f>Visuals!$N$29:$N$31</c:f>
              <c:numCache>
                <c:formatCode>0.0%</c:formatCode>
                <c:ptCount val="3"/>
                <c:pt idx="0">
                  <c:v>0.18</c:v>
                </c:pt>
                <c:pt idx="1">
                  <c:v>0.24305555555555552</c:v>
                </c:pt>
                <c:pt idx="2">
                  <c:v>0.252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494A-A8FB-84F4632C9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11</xdr:row>
      <xdr:rowOff>25400</xdr:rowOff>
    </xdr:from>
    <xdr:to>
      <xdr:col>5</xdr:col>
      <xdr:colOff>387350</xdr:colOff>
      <xdr:row>25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0F8B4F-4E90-1E50-993E-3354FF6C7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654602</xdr:colOff>
      <xdr:row>11</xdr:row>
      <xdr:rowOff>22087</xdr:rowOff>
    </xdr:from>
    <xdr:to>
      <xdr:col>10</xdr:col>
      <xdr:colOff>347041</xdr:colOff>
      <xdr:row>25</xdr:row>
      <xdr:rowOff>98287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48ED79-2382-C189-BA43-F383356AE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636933</xdr:colOff>
      <xdr:row>10</xdr:row>
      <xdr:rowOff>188844</xdr:rowOff>
    </xdr:from>
    <xdr:to>
      <xdr:col>16</xdr:col>
      <xdr:colOff>776633</xdr:colOff>
      <xdr:row>25</xdr:row>
      <xdr:rowOff>71783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6FC987-846B-DB87-2EEF-CC2820C08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336826</xdr:colOff>
      <xdr:row>41</xdr:row>
      <xdr:rowOff>160681</xdr:rowOff>
    </xdr:from>
    <xdr:to>
      <xdr:col>5</xdr:col>
      <xdr:colOff>496957</xdr:colOff>
      <xdr:row>56</xdr:row>
      <xdr:rowOff>124238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6B9C2-0E5C-EBE6-96DA-CD6AA75A2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792369</xdr:colOff>
      <xdr:row>41</xdr:row>
      <xdr:rowOff>174486</xdr:rowOff>
    </xdr:from>
    <xdr:to>
      <xdr:col>10</xdr:col>
      <xdr:colOff>621194</xdr:colOff>
      <xdr:row>56</xdr:row>
      <xdr:rowOff>124238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D0DEB0-5792-4A24-CE2F-0B529A40C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364434</xdr:colOff>
      <xdr:row>41</xdr:row>
      <xdr:rowOff>188291</xdr:rowOff>
    </xdr:from>
    <xdr:to>
      <xdr:col>16</xdr:col>
      <xdr:colOff>634999</xdr:colOff>
      <xdr:row>56</xdr:row>
      <xdr:rowOff>96630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0BC6FF-9292-2690-A572-26F87C78E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FFED4B-DFD2-5840-A624-76CC9259432B}" name="tblGrade12A" displayName="tblGrade12A" ref="A1:AD30" totalsRowShown="0" headerRowDxfId="38" dataDxfId="37" tableBorderDxfId="36" dataCellStyle="Percent">
  <autoFilter ref="A1:AD30" xr:uid="{36FFED4B-DFD2-5840-A624-76CC9259432B}"/>
  <tableColumns count="30">
    <tableColumn id="1" xr3:uid="{03B0015C-0226-A049-957C-33920DAD1192}" name="NO" dataDxfId="35"/>
    <tableColumn id="2" xr3:uid="{AC4EB832-DECC-034E-9A29-359838875445}" name="SURNAME" dataDxfId="34"/>
    <tableColumn id="3" xr3:uid="{C1E5E1C5-F665-D843-86E0-6582BA5B66C0}" name="PREFERRED NAME" dataDxfId="33"/>
    <tableColumn id="46" xr3:uid="{7254AD4D-A58B-3C44-8C8A-BEFDF293F847}" name="FAT 1  (25)" dataDxfId="32"/>
    <tableColumn id="47" xr3:uid="{139567DB-854B-6745-B243-B1192DA4303C}" name="Terminology  (20)" dataDxfId="31"/>
    <tableColumn id="48" xr3:uid="{7F7B0439-F774-0D4A-8B1D-BF325D74D600}" name="Total FAT1  (45)" dataDxfId="30">
      <calculatedColumnFormula>D2+E2</calculatedColumnFormula>
    </tableColumn>
    <tableColumn id="49" xr3:uid="{F02181CF-1DC4-6A48-9AC7-DC3C8CF23C6F}" name="Terminology2  (20)" dataDxfId="29" dataCellStyle="Percent"/>
    <tableColumn id="50" xr3:uid="{82413D1F-A090-9A47-96DC-76AEAF682B84}" name="FAT 2  (50)" dataDxfId="28"/>
    <tableColumn id="51" xr3:uid="{B64DCFD3-2018-EC4B-930E-B5A3490F5792}" name="TERM 1 MARK  (%)" dataDxfId="27" dataCellStyle="Percent">
      <calculatedColumnFormula>F2/45*25+G2/20*15+H2/50*60</calculatedColumnFormula>
    </tableColumn>
    <tableColumn id="52" xr3:uid="{ECE03217-A25A-B143-9E37-BBB2C98D0EBE}" name="FAT 1  (50)" dataDxfId="26"/>
    <tableColumn id="53" xr3:uid="{DE9E524E-32A3-604A-A268-670EDDF4DDE9}" name="FAT  (%)" dataDxfId="25" dataCellStyle="Percent">
      <calculatedColumnFormula>J2/50</calculatedColumnFormula>
    </tableColumn>
    <tableColumn id="54" xr3:uid="{6CE2C635-8189-9649-85D1-AB40E27153E7}" name="FILE AND FOLDER MANAGEMENT (20)" dataDxfId="24" dataCellStyle="Percent"/>
    <tableColumn id="55" xr3:uid="{CD57E44A-7E6E-6D4E-B00C-6A8A76201ABC}" name="WORD PROCESSING (50)" dataDxfId="23" dataCellStyle="Percent"/>
    <tableColumn id="56" xr3:uid="{A843B6DD-E93C-FC48-9349-7996E47552B9}" name="SPEADSHEETS  (50)" dataDxfId="22" dataCellStyle="Percent"/>
    <tableColumn id="57" xr3:uid="{777905B4-5E7F-D749-BC1F-06C9E5C22635}" name="DATABASE  (40)" dataDxfId="21" dataCellStyle="Percent"/>
    <tableColumn id="58" xr3:uid="{107DDB21-394E-4B48-9552-FD98E2D2E22D}" name="HTML  (20)" dataDxfId="20" dataCellStyle="Percent"/>
    <tableColumn id="59" xr3:uid="{7C5E4800-DD9E-274D-B788-772AD167E64A}" name="TOTAL  (180)" dataDxfId="19" dataCellStyle="Percent">
      <calculatedColumnFormula>L2+M2+N2+O2+P2</calculatedColumnFormula>
    </tableColumn>
    <tableColumn id="60" xr3:uid="{75F801DF-7DDD-B346-AB4E-C3802FECCC85}" name="PRAC EXAM MARK  (%)" dataDxfId="18" dataCellStyle="Percent">
      <calculatedColumnFormula>Q2/180</calculatedColumnFormula>
    </tableColumn>
    <tableColumn id="61" xr3:uid="{F86A2186-084E-6645-A00E-B18980F7D385}" name="MULTIPLE CHOICE  (15)" dataDxfId="17" dataCellStyle="Percent"/>
    <tableColumn id="62" xr3:uid="{2A57E9AD-E6C8-B943-BEE3-B21290BF5D35}" name="DEFINITIONS  (10)" dataDxfId="16" dataCellStyle="Percent"/>
    <tableColumn id="63" xr3:uid="{3B94C468-39AF-7240-9C7D-F8899836FC40}" name="SYSTEM TECH  (25)" dataDxfId="15" dataCellStyle="Percent"/>
    <tableColumn id="64" xr3:uid="{687D2CF4-A06C-8945-B763-9C0986B40782}" name="NETWORK TECH  (15)" dataDxfId="14" dataCellStyle="Percent"/>
    <tableColumn id="65" xr3:uid="{F201E800-3F1E-D34B-8B0F-73A530C2C0FA}" name="INFO MANAGEMENT  (10) " dataDxfId="13" dataCellStyle="Percent"/>
    <tableColumn id="66" xr3:uid="{35DF1FCB-61BB-684D-8EF4-11250037A535}" name="SOCIAL IMPLICATIONS  (10)" dataDxfId="12" dataCellStyle="Percent"/>
    <tableColumn id="67" xr3:uid="{019EA50B-997C-6F4D-9798-8A7F8E4A0C3E}" name="SOLUTION DEV.  (15)  " dataDxfId="11" dataCellStyle="Percent"/>
    <tableColumn id="68" xr3:uid="{3267C339-3E79-4D4D-8F62-FF6525CE6BA6}" name="SCENARIO 1  (30)" dataDxfId="10" dataCellStyle="Percent"/>
    <tableColumn id="69" xr3:uid="{99C70144-AB54-9949-8277-755825849045}" name="SCENARIO 2  (20)" dataDxfId="9" dataCellStyle="Percent"/>
    <tableColumn id="70" xr3:uid="{756BC61F-540D-564D-B204-6EB7677B4BA8}" name="TOTAL  (150)" dataDxfId="8" dataCellStyle="Percent">
      <calculatedColumnFormula>SUM(S2,T2,U2,V2,W2,X2,Y2,Z2,AA2)</calculatedColumnFormula>
    </tableColumn>
    <tableColumn id="71" xr3:uid="{14AEC7C3-00DB-9B4B-9E79-696E2C723635}" name="THEORY EXAM MARK  (%)" dataDxfId="7" dataCellStyle="Percent">
      <calculatedColumnFormula>K2*30 +R2*70</calculatedColumnFormula>
    </tableColumn>
    <tableColumn id="72" xr3:uid="{BF9A5BB4-1814-BB46-B24E-25C36DBA7B2B}" name="TERM 2 MARK  (%)" dataDxfId="6" dataCellStyle="Percent">
      <calculatedColumnFormula>K2*30 + R2*35 +AC2*35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76EF1D-1401-2E4A-B9FE-FCFA2562F73A}" name="tblGrade12B" displayName="tblGrade12B" ref="A1:AD32" totalsRowShown="0" headerRowDxfId="71" dataDxfId="70" tableBorderDxfId="69" dataCellStyle="Percent">
  <autoFilter ref="A1:AD32" xr:uid="{A076EF1D-1401-2E4A-B9FE-FCFA2562F73A}"/>
  <sortState xmlns:xlrd2="http://schemas.microsoft.com/office/spreadsheetml/2017/richdata2" ref="A2:AD32">
    <sortCondition ref="B1:B32"/>
  </sortState>
  <tableColumns count="30">
    <tableColumn id="1" xr3:uid="{4F658F72-3685-7D47-8BC1-B3A80500BE49}" name="NO" dataDxfId="68"/>
    <tableColumn id="2" xr3:uid="{07D5DF46-0829-6F46-9D52-AFE9EFD99183}" name="SURNAME" dataDxfId="67"/>
    <tableColumn id="3" xr3:uid="{8FB3CAFA-0A7A-A24A-8516-2B924499AE8C}" name="PREFERRED NAME" dataDxfId="66"/>
    <tableColumn id="46" xr3:uid="{9713B97A-FFAB-D942-8540-DC3163556B5D}" name="FAT 1  (25)" dataDxfId="65"/>
    <tableColumn id="47" xr3:uid="{1461B4F6-CF78-8540-AF43-4750D59363E0}" name="Terminology  (20)" dataDxfId="64"/>
    <tableColumn id="48" xr3:uid="{0C5C2BE3-E857-E544-A5F3-A3E38B1845A2}" name="Total FAT1  (45)" dataDxfId="63">
      <calculatedColumnFormula>D2+E2</calculatedColumnFormula>
    </tableColumn>
    <tableColumn id="49" xr3:uid="{D52D963C-6729-8240-828D-639A1605A88F}" name="Terminology2  (20)" dataDxfId="62" dataCellStyle="Percent"/>
    <tableColumn id="50" xr3:uid="{77D93788-E092-5A45-99CB-76FD0CE81F98}" name="FAT 2  (50)" dataDxfId="61"/>
    <tableColumn id="51" xr3:uid="{12EF26A8-83B0-7D41-9185-F342DDD67E77}" name="TERM 1 MARK  (%)" dataDxfId="60" dataCellStyle="Percent">
      <calculatedColumnFormula>F2/45*25+G2/20*15+H2/50*60</calculatedColumnFormula>
    </tableColumn>
    <tableColumn id="52" xr3:uid="{89AFE36A-7879-364A-AC0B-863B8D0CE987}" name="FAT 1  (50)" dataDxfId="59"/>
    <tableColumn id="53" xr3:uid="{F1C02AE2-0E20-9444-9C1F-49ECE9D5BCAB}" name="FAT  (%)" dataDxfId="58" dataCellStyle="Percent">
      <calculatedColumnFormula>J2/50</calculatedColumnFormula>
    </tableColumn>
    <tableColumn id="54" xr3:uid="{D0A15698-ECC4-584A-A4B0-1AB10B017DEF}" name="FILE AND FOLDER MANAGEMENT (20)" dataDxfId="57" dataCellStyle="Percent"/>
    <tableColumn id="55" xr3:uid="{9CC57038-67C2-5744-B134-F3FCD2C713C5}" name="WORD PROCESSING (50)" dataDxfId="56" dataCellStyle="Percent"/>
    <tableColumn id="56" xr3:uid="{B251D35F-3E23-6747-8660-69EF0674ED01}" name="SPEADSHEETS  (50)" dataDxfId="55" dataCellStyle="Percent"/>
    <tableColumn id="57" xr3:uid="{06AEA54D-2A4C-0F44-B207-F3FE31E4B605}" name="DATABASE  (40)" dataDxfId="54" dataCellStyle="Percent"/>
    <tableColumn id="58" xr3:uid="{1124E10B-BB2C-5C44-BF26-6982638DE8B7}" name="HTML  (20)" dataDxfId="53" dataCellStyle="Percent"/>
    <tableColumn id="59" xr3:uid="{ED6AD775-7AF8-B04F-9C41-D8CAF6C21AC3}" name="TOTAL  (180)" dataDxfId="52" dataCellStyle="Percent">
      <calculatedColumnFormula>SUM(L2,M2,N2,O2,P2)</calculatedColumnFormula>
    </tableColumn>
    <tableColumn id="73" xr3:uid="{84CBA832-2966-D14A-B667-741B2CD92FBA}" name="PRAC EXAM MARK  (%)" dataDxfId="51" dataCellStyle="Percent">
      <calculatedColumnFormula>Q2/180</calculatedColumnFormula>
    </tableColumn>
    <tableColumn id="60" xr3:uid="{8581EBAC-D4E1-024F-B610-3E84EA9BCCE8}" name="MULTIPLE CHOICE  (15)" dataDxfId="50" dataCellStyle="Percent"/>
    <tableColumn id="61" xr3:uid="{82B5E76C-A56D-DC40-93F1-FF967A2D9176}" name="DEFINITIONS  (10)" dataDxfId="49" dataCellStyle="Percent"/>
    <tableColumn id="62" xr3:uid="{95735483-0DBD-144D-84A8-E5357A93013A}" name="SYSTEM TECH  (25)" dataDxfId="48" dataCellStyle="Percent"/>
    <tableColumn id="63" xr3:uid="{962D9564-6921-8A42-A405-F893F1EDF5E1}" name="NETWORK TECH  (15)" dataDxfId="47" dataCellStyle="Percent"/>
    <tableColumn id="64" xr3:uid="{42B9D310-2095-BF4A-952C-03D72FD94797}" name="INFO MANAGEMENT  (10) " dataDxfId="46" dataCellStyle="Percent"/>
    <tableColumn id="65" xr3:uid="{1F914BC3-C40D-3646-89A2-AAFE1F1003C5}" name="SOCIAL IMPLICATIONS  (10)" dataDxfId="45" dataCellStyle="Percent"/>
    <tableColumn id="66" xr3:uid="{7A7E5DAF-94AE-5040-A8D0-651A30E09B43}" name="SOLUTION DEV.  (15)  " dataDxfId="44" dataCellStyle="Percent"/>
    <tableColumn id="67" xr3:uid="{BE1A7E9D-EB1D-EE4C-8633-B495EDE40E08}" name="SCENARIO 1  (30)" dataDxfId="43" dataCellStyle="Percent"/>
    <tableColumn id="68" xr3:uid="{06BD8CA1-2AE4-E948-A621-800F4F423B44}" name="SCENARIO 2  (20)" dataDxfId="42" dataCellStyle="Percent"/>
    <tableColumn id="69" xr3:uid="{4BDFD2B9-7F9A-724E-B980-CE69848AD490}" name="TOTAL  (150)" dataDxfId="41" dataCellStyle="Percent">
      <calculatedColumnFormula>SUM(tblGrade12B[[#This Row],[MULTIPLE CHOICE  (15)]:[SCENARIO 2  (20)]])</calculatedColumnFormula>
    </tableColumn>
    <tableColumn id="70" xr3:uid="{5D806199-890E-6742-9BC8-09A4F4CB6A1F}" name="THEORY EXAM MARK  (%)" dataDxfId="40" dataCellStyle="Percent">
      <calculatedColumnFormula>AB2/150</calculatedColumnFormula>
    </tableColumn>
    <tableColumn id="71" xr3:uid="{C5112240-45B2-0245-9A94-792F24EA1B42}" name="TERM MARK(%)" dataDxfId="39" dataCellStyle="Percent">
      <calculatedColumnFormula>K2*30 + R2*35 +AC2*35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89"/>
  <sheetViews>
    <sheetView workbookViewId="0">
      <selection activeCell="C20" sqref="C20"/>
    </sheetView>
  </sheetViews>
  <sheetFormatPr baseColWidth="10" defaultColWidth="14.5" defaultRowHeight="15" customHeight="1" x14ac:dyDescent="0.2"/>
  <cols>
    <col min="1" max="1" width="3.5" customWidth="1"/>
    <col min="2" max="2" width="12.83203125" customWidth="1"/>
    <col min="3" max="3" width="28.5" customWidth="1"/>
    <col min="4" max="4" width="8.1640625" customWidth="1"/>
    <col min="5" max="5" width="16" customWidth="1"/>
    <col min="6" max="6" width="17.5" customWidth="1"/>
    <col min="7" max="23" width="8.6640625" customWidth="1"/>
  </cols>
  <sheetData>
    <row r="1" spans="1:6" ht="14.25" customHeight="1" x14ac:dyDescent="0.2">
      <c r="C1" s="1" t="s">
        <v>0</v>
      </c>
    </row>
    <row r="2" spans="1:6" ht="14.25" customHeight="1" x14ac:dyDescent="0.2">
      <c r="C2" s="1" t="s">
        <v>1</v>
      </c>
    </row>
    <row r="3" spans="1:6" ht="14.25" customHeight="1" x14ac:dyDescent="0.2">
      <c r="C3" s="1" t="s">
        <v>2</v>
      </c>
    </row>
    <row r="4" spans="1:6" ht="14.25" customHeight="1" x14ac:dyDescent="0.2">
      <c r="A4" s="2" t="s">
        <v>3</v>
      </c>
      <c r="B4" s="3" t="s">
        <v>4</v>
      </c>
      <c r="C4" s="3" t="s">
        <v>5</v>
      </c>
      <c r="D4" s="2" t="s">
        <v>6</v>
      </c>
      <c r="E4" s="2"/>
      <c r="F4" s="2"/>
    </row>
    <row r="5" spans="1:6" ht="14.25" customHeight="1" x14ac:dyDescent="0.2">
      <c r="A5" s="4">
        <v>1</v>
      </c>
      <c r="B5" s="5" t="s">
        <v>7</v>
      </c>
      <c r="C5" s="5" t="s">
        <v>8</v>
      </c>
      <c r="D5" s="6" t="s">
        <v>9</v>
      </c>
      <c r="E5" s="7"/>
      <c r="F5" s="5"/>
    </row>
    <row r="6" spans="1:6" ht="14.25" customHeight="1" x14ac:dyDescent="0.2">
      <c r="A6" s="4">
        <v>2</v>
      </c>
      <c r="B6" s="5" t="s">
        <v>10</v>
      </c>
      <c r="C6" s="5" t="s">
        <v>11</v>
      </c>
      <c r="D6" s="6" t="s">
        <v>9</v>
      </c>
      <c r="E6" s="7"/>
      <c r="F6" s="5"/>
    </row>
    <row r="7" spans="1:6" ht="14.25" customHeight="1" x14ac:dyDescent="0.2">
      <c r="A7" s="4">
        <v>3</v>
      </c>
      <c r="B7" s="5" t="s">
        <v>12</v>
      </c>
      <c r="C7" s="5" t="s">
        <v>13</v>
      </c>
      <c r="D7" s="6" t="s">
        <v>9</v>
      </c>
      <c r="E7" s="7"/>
      <c r="F7" s="5"/>
    </row>
    <row r="8" spans="1:6" ht="14.25" customHeight="1" x14ac:dyDescent="0.2">
      <c r="A8" s="4">
        <v>4</v>
      </c>
      <c r="B8" s="5" t="s">
        <v>14</v>
      </c>
      <c r="C8" s="5" t="s">
        <v>15</v>
      </c>
      <c r="D8" s="6" t="s">
        <v>9</v>
      </c>
      <c r="E8" s="7"/>
      <c r="F8" s="5"/>
    </row>
    <row r="9" spans="1:6" ht="14.25" customHeight="1" x14ac:dyDescent="0.2">
      <c r="A9" s="4">
        <v>5</v>
      </c>
      <c r="B9" s="5" t="s">
        <v>16</v>
      </c>
      <c r="C9" s="5" t="s">
        <v>17</v>
      </c>
      <c r="D9" s="6" t="s">
        <v>9</v>
      </c>
      <c r="E9" s="7"/>
      <c r="F9" s="5"/>
    </row>
    <row r="10" spans="1:6" ht="14.25" customHeight="1" x14ac:dyDescent="0.2">
      <c r="A10" s="4">
        <v>6</v>
      </c>
      <c r="B10" s="8" t="s">
        <v>18</v>
      </c>
      <c r="C10" s="8" t="s">
        <v>19</v>
      </c>
      <c r="D10" s="8" t="s">
        <v>20</v>
      </c>
      <c r="E10" s="9"/>
      <c r="F10" s="9"/>
    </row>
    <row r="11" spans="1:6" ht="14.25" customHeight="1" x14ac:dyDescent="0.2">
      <c r="A11" s="4">
        <v>7</v>
      </c>
      <c r="B11" s="5" t="s">
        <v>21</v>
      </c>
      <c r="C11" s="5" t="s">
        <v>22</v>
      </c>
      <c r="D11" s="6" t="s">
        <v>9</v>
      </c>
      <c r="E11" s="7"/>
      <c r="F11" s="5"/>
    </row>
    <row r="12" spans="1:6" ht="14.25" customHeight="1" x14ac:dyDescent="0.2">
      <c r="A12" s="4">
        <v>8</v>
      </c>
      <c r="B12" s="5" t="s">
        <v>23</v>
      </c>
      <c r="C12" s="5" t="s">
        <v>24</v>
      </c>
      <c r="D12" s="6" t="s">
        <v>9</v>
      </c>
      <c r="E12" s="7"/>
      <c r="F12" s="5"/>
    </row>
    <row r="13" spans="1:6" ht="14.25" customHeight="1" x14ac:dyDescent="0.2">
      <c r="A13" s="4">
        <v>9</v>
      </c>
      <c r="B13" s="5" t="s">
        <v>25</v>
      </c>
      <c r="C13" s="5" t="s">
        <v>26</v>
      </c>
      <c r="D13" s="6" t="s">
        <v>9</v>
      </c>
      <c r="E13" s="7"/>
      <c r="F13" s="5"/>
    </row>
    <row r="14" spans="1:6" ht="14.25" customHeight="1" x14ac:dyDescent="0.2">
      <c r="A14" s="4">
        <v>10</v>
      </c>
      <c r="B14" s="5" t="s">
        <v>27</v>
      </c>
      <c r="C14" s="5" t="s">
        <v>28</v>
      </c>
      <c r="D14" s="6" t="s">
        <v>9</v>
      </c>
      <c r="E14" s="7"/>
      <c r="F14" s="5"/>
    </row>
    <row r="15" spans="1:6" ht="14.25" customHeight="1" x14ac:dyDescent="0.2">
      <c r="A15" s="4">
        <v>11</v>
      </c>
      <c r="B15" s="5" t="s">
        <v>29</v>
      </c>
      <c r="C15" s="5" t="s">
        <v>30</v>
      </c>
      <c r="D15" s="6" t="s">
        <v>31</v>
      </c>
      <c r="E15" s="7"/>
      <c r="F15" s="5"/>
    </row>
    <row r="16" spans="1:6" ht="14.25" customHeight="1" x14ac:dyDescent="0.2">
      <c r="A16" s="4">
        <v>12</v>
      </c>
      <c r="B16" s="5" t="s">
        <v>32</v>
      </c>
      <c r="C16" s="5" t="s">
        <v>33</v>
      </c>
      <c r="D16" s="6" t="s">
        <v>31</v>
      </c>
      <c r="E16" s="7"/>
      <c r="F16" s="5"/>
    </row>
    <row r="17" spans="1:6" ht="14.25" customHeight="1" x14ac:dyDescent="0.2">
      <c r="A17" s="4">
        <v>13</v>
      </c>
      <c r="B17" s="10" t="s">
        <v>34</v>
      </c>
      <c r="C17" s="10" t="s">
        <v>35</v>
      </c>
      <c r="D17" s="11" t="s">
        <v>9</v>
      </c>
      <c r="E17" s="12"/>
      <c r="F17" s="12"/>
    </row>
    <row r="18" spans="1:6" ht="14.25" customHeight="1" x14ac:dyDescent="0.2">
      <c r="A18" s="4">
        <v>14</v>
      </c>
      <c r="B18" s="5" t="s">
        <v>36</v>
      </c>
      <c r="C18" s="5" t="s">
        <v>37</v>
      </c>
      <c r="D18" s="6" t="s">
        <v>9</v>
      </c>
      <c r="E18" s="7"/>
      <c r="F18" s="5"/>
    </row>
    <row r="19" spans="1:6" ht="14.25" customHeight="1" x14ac:dyDescent="0.2">
      <c r="A19" s="4">
        <v>15</v>
      </c>
      <c r="B19" s="5" t="s">
        <v>38</v>
      </c>
      <c r="C19" s="5" t="s">
        <v>39</v>
      </c>
      <c r="D19" s="6" t="s">
        <v>31</v>
      </c>
      <c r="E19" s="7"/>
      <c r="F19" s="5"/>
    </row>
    <row r="20" spans="1:6" ht="14.25" customHeight="1" x14ac:dyDescent="0.2">
      <c r="A20" s="4">
        <v>16</v>
      </c>
      <c r="B20" s="5" t="s">
        <v>40</v>
      </c>
      <c r="C20" s="5" t="s">
        <v>41</v>
      </c>
      <c r="D20" s="6" t="s">
        <v>31</v>
      </c>
      <c r="E20" s="7"/>
      <c r="F20" s="5"/>
    </row>
    <row r="21" spans="1:6" ht="14.25" customHeight="1" x14ac:dyDescent="0.2">
      <c r="A21" s="4">
        <v>17</v>
      </c>
      <c r="B21" s="5" t="s">
        <v>42</v>
      </c>
      <c r="C21" s="5" t="s">
        <v>43</v>
      </c>
      <c r="D21" s="6" t="s">
        <v>9</v>
      </c>
      <c r="E21" s="7"/>
      <c r="F21" s="5"/>
    </row>
    <row r="22" spans="1:6" ht="14.25" customHeight="1" x14ac:dyDescent="0.2">
      <c r="A22" s="4">
        <v>18</v>
      </c>
      <c r="B22" s="5" t="s">
        <v>44</v>
      </c>
      <c r="C22" s="5" t="s">
        <v>45</v>
      </c>
      <c r="D22" s="6" t="s">
        <v>9</v>
      </c>
      <c r="E22" s="7"/>
      <c r="F22" s="5"/>
    </row>
    <row r="23" spans="1:6" ht="14.25" customHeight="1" x14ac:dyDescent="0.2">
      <c r="A23" s="4">
        <v>19</v>
      </c>
      <c r="B23" s="8"/>
      <c r="C23" s="8"/>
      <c r="D23" s="8"/>
      <c r="E23" s="8"/>
      <c r="F23" s="8"/>
    </row>
    <row r="24" spans="1:6" ht="14.25" customHeight="1" x14ac:dyDescent="0.2">
      <c r="A24" s="4">
        <v>20</v>
      </c>
      <c r="B24" s="8"/>
      <c r="C24" s="8"/>
      <c r="D24" s="8"/>
      <c r="E24" s="8"/>
      <c r="F24" s="8"/>
    </row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996"/>
  <sheetViews>
    <sheetView workbookViewId="0"/>
  </sheetViews>
  <sheetFormatPr baseColWidth="10" defaultColWidth="14.5" defaultRowHeight="15" customHeight="1" x14ac:dyDescent="0.2"/>
  <cols>
    <col min="1" max="1" width="3.5" customWidth="1"/>
    <col min="2" max="2" width="16.5" customWidth="1"/>
    <col min="3" max="3" width="21.6640625" customWidth="1"/>
    <col min="4" max="4" width="8.1640625" customWidth="1"/>
    <col min="5" max="5" width="15" customWidth="1"/>
    <col min="6" max="6" width="14.1640625" customWidth="1"/>
    <col min="7" max="7" width="18.6640625" customWidth="1"/>
    <col min="8" max="8" width="18.83203125" customWidth="1"/>
    <col min="9" max="23" width="8.6640625" customWidth="1"/>
  </cols>
  <sheetData>
    <row r="1" spans="1:11" ht="14.25" customHeight="1" x14ac:dyDescent="0.2">
      <c r="C1" s="1" t="s">
        <v>0</v>
      </c>
    </row>
    <row r="2" spans="1:11" ht="14.25" customHeight="1" x14ac:dyDescent="0.2">
      <c r="C2" s="1" t="s">
        <v>46</v>
      </c>
    </row>
    <row r="3" spans="1:11" ht="14.25" customHeight="1" x14ac:dyDescent="0.2">
      <c r="C3" s="1" t="s">
        <v>47</v>
      </c>
    </row>
    <row r="4" spans="1:11" ht="14.25" customHeight="1" x14ac:dyDescent="0.2"/>
    <row r="5" spans="1:11" ht="14.25" customHeight="1" x14ac:dyDescent="0.2">
      <c r="A5" s="2" t="s">
        <v>3</v>
      </c>
      <c r="B5" s="3" t="s">
        <v>4</v>
      </c>
      <c r="C5" s="3" t="s">
        <v>5</v>
      </c>
      <c r="D5" s="2" t="s">
        <v>6</v>
      </c>
      <c r="E5" s="2" t="s">
        <v>48</v>
      </c>
      <c r="F5" s="2" t="s">
        <v>48</v>
      </c>
    </row>
    <row r="6" spans="1:11" ht="14.25" customHeight="1" x14ac:dyDescent="0.2">
      <c r="A6" s="4">
        <v>1</v>
      </c>
      <c r="B6" s="5" t="s">
        <v>49</v>
      </c>
      <c r="C6" s="5" t="s">
        <v>50</v>
      </c>
      <c r="D6" s="6" t="s">
        <v>31</v>
      </c>
      <c r="E6" s="7">
        <v>844455053</v>
      </c>
      <c r="F6" s="5">
        <v>843190000</v>
      </c>
    </row>
    <row r="7" spans="1:11" ht="14.25" customHeight="1" x14ac:dyDescent="0.2">
      <c r="A7" s="4">
        <v>2</v>
      </c>
      <c r="B7" s="5" t="s">
        <v>51</v>
      </c>
      <c r="C7" s="5" t="s">
        <v>52</v>
      </c>
      <c r="D7" s="6" t="s">
        <v>31</v>
      </c>
      <c r="E7" s="7">
        <v>823158620</v>
      </c>
      <c r="F7" s="5">
        <v>828074420</v>
      </c>
    </row>
    <row r="8" spans="1:11" ht="14.25" customHeight="1" x14ac:dyDescent="0.2">
      <c r="A8" s="4">
        <v>3</v>
      </c>
      <c r="B8" s="5" t="s">
        <v>53</v>
      </c>
      <c r="C8" s="5" t="s">
        <v>54</v>
      </c>
      <c r="D8" s="6" t="s">
        <v>31</v>
      </c>
      <c r="E8" s="7"/>
      <c r="F8" s="5"/>
    </row>
    <row r="9" spans="1:11" ht="14.25" customHeight="1" x14ac:dyDescent="0.2">
      <c r="A9" s="4">
        <v>4</v>
      </c>
      <c r="B9" s="5" t="s">
        <v>55</v>
      </c>
      <c r="C9" s="5" t="s">
        <v>56</v>
      </c>
      <c r="D9" s="6" t="s">
        <v>31</v>
      </c>
      <c r="E9" s="7">
        <v>823272644</v>
      </c>
      <c r="F9" s="5">
        <v>825319510</v>
      </c>
    </row>
    <row r="10" spans="1:11" ht="14.25" customHeight="1" x14ac:dyDescent="0.2">
      <c r="A10" s="4">
        <v>5</v>
      </c>
      <c r="B10" s="5" t="s">
        <v>57</v>
      </c>
      <c r="C10" s="5" t="s">
        <v>58</v>
      </c>
      <c r="D10" s="6" t="s">
        <v>9</v>
      </c>
      <c r="E10" s="7">
        <v>844087560</v>
      </c>
      <c r="F10" s="5">
        <v>824855890</v>
      </c>
    </row>
    <row r="11" spans="1:11" ht="14.25" customHeight="1" x14ac:dyDescent="0.2">
      <c r="A11" s="4">
        <v>6</v>
      </c>
      <c r="B11" s="5" t="s">
        <v>59</v>
      </c>
      <c r="C11" s="5" t="s">
        <v>60</v>
      </c>
      <c r="D11" s="6" t="s">
        <v>9</v>
      </c>
      <c r="E11" s="7"/>
      <c r="F11" s="5"/>
    </row>
    <row r="12" spans="1:11" ht="14.25" customHeight="1" x14ac:dyDescent="0.2">
      <c r="A12" s="4">
        <v>7</v>
      </c>
      <c r="B12" s="5" t="s">
        <v>61</v>
      </c>
      <c r="C12" s="5" t="s">
        <v>62</v>
      </c>
      <c r="D12" s="6" t="s">
        <v>9</v>
      </c>
      <c r="E12" s="7">
        <v>840341563</v>
      </c>
      <c r="F12" s="5"/>
    </row>
    <row r="13" spans="1:11" ht="14.25" customHeight="1" x14ac:dyDescent="0.2">
      <c r="A13" s="4">
        <v>8</v>
      </c>
      <c r="B13" s="5" t="s">
        <v>63</v>
      </c>
      <c r="C13" s="5" t="s">
        <v>64</v>
      </c>
      <c r="D13" s="6" t="s">
        <v>9</v>
      </c>
      <c r="E13" s="7">
        <v>824630100</v>
      </c>
      <c r="F13" s="5">
        <v>824129500</v>
      </c>
      <c r="K13" s="13" t="s">
        <v>65</v>
      </c>
    </row>
    <row r="14" spans="1:11" ht="14.25" customHeight="1" x14ac:dyDescent="0.2">
      <c r="A14" s="4">
        <v>9</v>
      </c>
      <c r="B14" s="5" t="s">
        <v>66</v>
      </c>
      <c r="C14" s="5" t="s">
        <v>67</v>
      </c>
      <c r="D14" s="6" t="s">
        <v>9</v>
      </c>
      <c r="E14" s="7">
        <v>842970660</v>
      </c>
      <c r="F14" s="5">
        <v>846311791</v>
      </c>
    </row>
    <row r="15" spans="1:11" ht="14.25" customHeight="1" x14ac:dyDescent="0.2">
      <c r="A15" s="4">
        <v>10</v>
      </c>
      <c r="B15" s="5" t="s">
        <v>68</v>
      </c>
      <c r="C15" s="5" t="s">
        <v>69</v>
      </c>
      <c r="D15" s="6" t="s">
        <v>9</v>
      </c>
      <c r="E15" s="7"/>
      <c r="F15" s="5"/>
    </row>
    <row r="16" spans="1:11" ht="14.25" customHeight="1" x14ac:dyDescent="0.2">
      <c r="A16" s="4">
        <v>11</v>
      </c>
      <c r="B16" s="5" t="s">
        <v>70</v>
      </c>
      <c r="C16" s="5" t="s">
        <v>71</v>
      </c>
      <c r="D16" s="6" t="s">
        <v>31</v>
      </c>
      <c r="E16" s="7"/>
      <c r="F16" s="5"/>
    </row>
    <row r="17" spans="1:6" ht="14.25" customHeight="1" x14ac:dyDescent="0.2">
      <c r="A17" s="4">
        <v>12</v>
      </c>
      <c r="B17" s="5" t="s">
        <v>72</v>
      </c>
      <c r="C17" s="5" t="s">
        <v>73</v>
      </c>
      <c r="D17" s="6" t="s">
        <v>9</v>
      </c>
      <c r="E17" s="7">
        <v>823682400</v>
      </c>
      <c r="F17" s="5">
        <v>843938276</v>
      </c>
    </row>
    <row r="18" spans="1:6" ht="14.25" customHeight="1" x14ac:dyDescent="0.2">
      <c r="A18" s="4">
        <v>13</v>
      </c>
      <c r="B18" s="5" t="s">
        <v>74</v>
      </c>
      <c r="C18" s="5" t="s">
        <v>75</v>
      </c>
      <c r="D18" s="6" t="s">
        <v>31</v>
      </c>
      <c r="E18" s="7">
        <v>843185860</v>
      </c>
      <c r="F18" s="5">
        <v>848951444</v>
      </c>
    </row>
    <row r="19" spans="1:6" ht="14.25" customHeight="1" x14ac:dyDescent="0.2">
      <c r="A19" s="4">
        <v>14</v>
      </c>
      <c r="B19" s="5" t="s">
        <v>76</v>
      </c>
      <c r="C19" s="5" t="s">
        <v>77</v>
      </c>
      <c r="D19" s="6" t="s">
        <v>9</v>
      </c>
      <c r="E19" s="7"/>
      <c r="F19" s="5"/>
    </row>
    <row r="20" spans="1:6" ht="14.25" customHeight="1" x14ac:dyDescent="0.2">
      <c r="A20" s="4">
        <v>15</v>
      </c>
      <c r="B20" s="5" t="s">
        <v>78</v>
      </c>
      <c r="C20" s="5" t="s">
        <v>64</v>
      </c>
      <c r="D20" s="6" t="s">
        <v>9</v>
      </c>
      <c r="E20" s="7">
        <v>842324536</v>
      </c>
      <c r="F20" s="5"/>
    </row>
    <row r="21" spans="1:6" ht="14.25" customHeight="1" x14ac:dyDescent="0.2">
      <c r="A21" s="4">
        <v>16</v>
      </c>
      <c r="B21" s="5" t="s">
        <v>79</v>
      </c>
      <c r="C21" s="5" t="s">
        <v>80</v>
      </c>
      <c r="D21" s="6" t="s">
        <v>31</v>
      </c>
      <c r="E21" s="7">
        <v>845292535</v>
      </c>
      <c r="F21" s="5" t="s">
        <v>81</v>
      </c>
    </row>
    <row r="22" spans="1:6" ht="14.25" customHeight="1" x14ac:dyDescent="0.2">
      <c r="A22" s="4">
        <v>17</v>
      </c>
      <c r="B22" s="5" t="s">
        <v>32</v>
      </c>
      <c r="C22" s="5" t="s">
        <v>82</v>
      </c>
      <c r="D22" s="6" t="s">
        <v>31</v>
      </c>
      <c r="E22" s="7"/>
      <c r="F22" s="5"/>
    </row>
    <row r="23" spans="1:6" ht="14.25" customHeight="1" x14ac:dyDescent="0.2">
      <c r="A23" s="4">
        <v>18</v>
      </c>
      <c r="B23" s="5" t="s">
        <v>83</v>
      </c>
      <c r="C23" s="5" t="s">
        <v>84</v>
      </c>
      <c r="D23" s="6" t="s">
        <v>31</v>
      </c>
      <c r="E23" s="7">
        <v>844914036</v>
      </c>
      <c r="F23" s="5">
        <v>848295059</v>
      </c>
    </row>
    <row r="24" spans="1:6" ht="14.25" customHeight="1" x14ac:dyDescent="0.2">
      <c r="A24" s="4">
        <v>19</v>
      </c>
      <c r="B24" s="8" t="s">
        <v>85</v>
      </c>
      <c r="C24" s="8" t="s">
        <v>86</v>
      </c>
      <c r="D24" s="8" t="s">
        <v>87</v>
      </c>
      <c r="E24" s="9">
        <v>823814750</v>
      </c>
      <c r="F24" s="8"/>
    </row>
    <row r="25" spans="1:6" ht="14.25" customHeight="1" x14ac:dyDescent="0.2">
      <c r="A25" s="4">
        <v>20</v>
      </c>
      <c r="B25" s="5" t="s">
        <v>88</v>
      </c>
      <c r="C25" s="5" t="s">
        <v>89</v>
      </c>
      <c r="D25" s="6" t="s">
        <v>31</v>
      </c>
      <c r="E25" s="7">
        <v>823032561</v>
      </c>
      <c r="F25" s="5">
        <v>823001722</v>
      </c>
    </row>
    <row r="26" spans="1:6" ht="14.25" customHeight="1" x14ac:dyDescent="0.2">
      <c r="A26" s="4">
        <v>21</v>
      </c>
      <c r="B26" s="5" t="s">
        <v>90</v>
      </c>
      <c r="C26" s="5" t="s">
        <v>91</v>
      </c>
      <c r="D26" s="6" t="s">
        <v>31</v>
      </c>
      <c r="E26" s="7">
        <v>824434010</v>
      </c>
      <c r="F26" s="5"/>
    </row>
    <row r="27" spans="1:6" ht="14.25" customHeight="1" x14ac:dyDescent="0.2">
      <c r="A27" s="4">
        <v>22</v>
      </c>
      <c r="B27" s="8"/>
      <c r="C27" s="8"/>
      <c r="D27" s="8"/>
      <c r="E27" s="8"/>
      <c r="F27" s="8"/>
    </row>
    <row r="28" spans="1:6" ht="14.25" customHeight="1" x14ac:dyDescent="0.2">
      <c r="A28" s="4">
        <v>23</v>
      </c>
      <c r="B28" s="8"/>
      <c r="C28" s="8"/>
      <c r="D28" s="8"/>
      <c r="E28" s="8"/>
      <c r="F28" s="8"/>
    </row>
    <row r="29" spans="1:6" ht="14.25" customHeight="1" x14ac:dyDescent="0.2">
      <c r="A29" s="4">
        <v>24</v>
      </c>
      <c r="B29" s="8"/>
      <c r="C29" s="8"/>
      <c r="D29" s="8"/>
      <c r="E29" s="8"/>
      <c r="F29" s="8"/>
    </row>
    <row r="30" spans="1:6" ht="14.25" customHeight="1" x14ac:dyDescent="0.2">
      <c r="A30" s="4">
        <v>25</v>
      </c>
      <c r="B30" s="8"/>
      <c r="C30" s="8"/>
      <c r="D30" s="8"/>
      <c r="E30" s="8"/>
      <c r="F30" s="8"/>
    </row>
    <row r="31" spans="1:6" ht="14.25" customHeight="1" x14ac:dyDescent="0.2">
      <c r="A31" s="4">
        <v>26</v>
      </c>
      <c r="B31" s="8"/>
      <c r="C31" s="8"/>
      <c r="D31" s="8"/>
      <c r="E31" s="8"/>
      <c r="F31" s="8"/>
    </row>
    <row r="32" spans="1:6" ht="14.25" customHeight="1" x14ac:dyDescent="0.2">
      <c r="A32" s="8"/>
      <c r="B32" s="8"/>
      <c r="C32" s="8"/>
      <c r="D32" s="8"/>
      <c r="E32" s="8"/>
      <c r="F32" s="8"/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93"/>
  <sheetViews>
    <sheetView workbookViewId="0">
      <selection activeCell="B13" sqref="B13"/>
    </sheetView>
  </sheetViews>
  <sheetFormatPr baseColWidth="10" defaultColWidth="14.5" defaultRowHeight="15" customHeight="1" x14ac:dyDescent="0.2"/>
  <cols>
    <col min="1" max="1" width="3.5" customWidth="1"/>
    <col min="2" max="2" width="14.6640625" customWidth="1"/>
    <col min="3" max="3" width="28" customWidth="1"/>
    <col min="4" max="4" width="8.1640625" customWidth="1"/>
    <col min="5" max="5" width="15.83203125" customWidth="1"/>
    <col min="6" max="6" width="17.6640625" customWidth="1"/>
    <col min="7" max="23" width="8.6640625" customWidth="1"/>
  </cols>
  <sheetData>
    <row r="1" spans="1:6" ht="14.25" customHeight="1" x14ac:dyDescent="0.2">
      <c r="C1" s="1" t="s">
        <v>0</v>
      </c>
    </row>
    <row r="2" spans="1:6" ht="14.25" customHeight="1" x14ac:dyDescent="0.2">
      <c r="C2" s="1" t="s">
        <v>92</v>
      </c>
    </row>
    <row r="3" spans="1:6" ht="14.25" customHeight="1" x14ac:dyDescent="0.2">
      <c r="C3" s="1" t="s">
        <v>93</v>
      </c>
    </row>
    <row r="4" spans="1:6" ht="14.25" customHeight="1" x14ac:dyDescent="0.2"/>
    <row r="5" spans="1:6" ht="14.25" customHeight="1" x14ac:dyDescent="0.2">
      <c r="A5" s="2" t="s">
        <v>3</v>
      </c>
      <c r="B5" s="3" t="s">
        <v>4</v>
      </c>
      <c r="C5" s="3" t="s">
        <v>5</v>
      </c>
      <c r="D5" s="2" t="s">
        <v>6</v>
      </c>
      <c r="E5" s="2" t="s">
        <v>48</v>
      </c>
      <c r="F5" s="2" t="s">
        <v>48</v>
      </c>
    </row>
    <row r="6" spans="1:6" ht="14.25" customHeight="1" x14ac:dyDescent="0.2">
      <c r="A6" s="4">
        <v>1</v>
      </c>
      <c r="B6" s="5" t="s">
        <v>94</v>
      </c>
      <c r="C6" s="5" t="s">
        <v>95</v>
      </c>
      <c r="D6" s="6" t="s">
        <v>31</v>
      </c>
      <c r="E6" s="7">
        <v>845745300</v>
      </c>
      <c r="F6" s="5">
        <v>848576280</v>
      </c>
    </row>
    <row r="7" spans="1:6" ht="14.25" customHeight="1" x14ac:dyDescent="0.2">
      <c r="A7" s="4">
        <v>2</v>
      </c>
      <c r="B7" s="5" t="s">
        <v>96</v>
      </c>
      <c r="C7" s="5" t="s">
        <v>97</v>
      </c>
      <c r="D7" s="6" t="s">
        <v>31</v>
      </c>
      <c r="E7" s="7">
        <v>842733064</v>
      </c>
      <c r="F7" s="5">
        <v>842649303</v>
      </c>
    </row>
    <row r="8" spans="1:6" ht="15" customHeight="1" x14ac:dyDescent="0.2">
      <c r="A8" s="4">
        <v>3</v>
      </c>
      <c r="B8" s="5" t="s">
        <v>98</v>
      </c>
      <c r="C8" s="5" t="s">
        <v>99</v>
      </c>
      <c r="D8" s="6" t="s">
        <v>31</v>
      </c>
      <c r="E8" s="7"/>
      <c r="F8" s="5"/>
    </row>
    <row r="9" spans="1:6" ht="14.25" customHeight="1" x14ac:dyDescent="0.2">
      <c r="A9" s="4">
        <v>4</v>
      </c>
      <c r="B9" s="10" t="s">
        <v>100</v>
      </c>
      <c r="C9" s="10" t="s">
        <v>101</v>
      </c>
      <c r="D9" s="11" t="s">
        <v>31</v>
      </c>
      <c r="E9" s="10"/>
      <c r="F9" s="10"/>
    </row>
    <row r="10" spans="1:6" ht="14.25" customHeight="1" x14ac:dyDescent="0.2">
      <c r="A10" s="4">
        <v>5</v>
      </c>
      <c r="B10" s="5" t="s">
        <v>102</v>
      </c>
      <c r="C10" s="5" t="s">
        <v>103</v>
      </c>
      <c r="D10" s="6" t="s">
        <v>9</v>
      </c>
      <c r="E10" s="7"/>
      <c r="F10" s="5"/>
    </row>
    <row r="11" spans="1:6" ht="14.25" customHeight="1" x14ac:dyDescent="0.2">
      <c r="A11" s="4">
        <v>6</v>
      </c>
      <c r="B11" s="5" t="s">
        <v>104</v>
      </c>
      <c r="C11" s="5" t="s">
        <v>105</v>
      </c>
      <c r="D11" s="6" t="s">
        <v>31</v>
      </c>
      <c r="E11" s="7"/>
      <c r="F11" s="5"/>
    </row>
    <row r="12" spans="1:6" ht="14.25" customHeight="1" x14ac:dyDescent="0.2">
      <c r="A12" s="4">
        <v>7</v>
      </c>
      <c r="B12" s="5" t="s">
        <v>106</v>
      </c>
      <c r="C12" s="5" t="s">
        <v>107</v>
      </c>
      <c r="D12" s="6" t="s">
        <v>31</v>
      </c>
      <c r="E12" s="7">
        <v>845600001</v>
      </c>
      <c r="F12" s="5">
        <v>847776867</v>
      </c>
    </row>
    <row r="13" spans="1:6" ht="14.25" customHeight="1" x14ac:dyDescent="0.2">
      <c r="A13" s="4">
        <v>8</v>
      </c>
      <c r="B13" s="5" t="s">
        <v>108</v>
      </c>
      <c r="C13" s="5" t="s">
        <v>109</v>
      </c>
      <c r="D13" s="6" t="s">
        <v>31</v>
      </c>
      <c r="E13" s="7">
        <v>848080540</v>
      </c>
      <c r="F13" s="5">
        <v>827232280</v>
      </c>
    </row>
    <row r="14" spans="1:6" ht="14.25" customHeight="1" x14ac:dyDescent="0.2">
      <c r="A14" s="4">
        <v>9</v>
      </c>
      <c r="B14" s="5" t="s">
        <v>110</v>
      </c>
      <c r="C14" s="5" t="s">
        <v>111</v>
      </c>
      <c r="D14" s="6" t="s">
        <v>31</v>
      </c>
      <c r="E14" s="7">
        <v>844148197</v>
      </c>
      <c r="F14" s="5"/>
    </row>
    <row r="15" spans="1:6" ht="14.25" customHeight="1" x14ac:dyDescent="0.2">
      <c r="A15" s="4">
        <v>10</v>
      </c>
      <c r="B15" s="5" t="s">
        <v>112</v>
      </c>
      <c r="C15" s="5" t="s">
        <v>113</v>
      </c>
      <c r="D15" s="6" t="s">
        <v>9</v>
      </c>
      <c r="E15" s="7"/>
      <c r="F15" s="5"/>
    </row>
    <row r="16" spans="1:6" ht="14.25" customHeight="1" x14ac:dyDescent="0.2">
      <c r="A16" s="4">
        <v>11</v>
      </c>
      <c r="B16" s="5" t="s">
        <v>114</v>
      </c>
      <c r="C16" s="5" t="s">
        <v>115</v>
      </c>
      <c r="D16" s="6" t="s">
        <v>31</v>
      </c>
      <c r="E16" s="7">
        <v>825300617</v>
      </c>
      <c r="F16" s="5">
        <v>822744826</v>
      </c>
    </row>
    <row r="17" spans="1:6" ht="14.25" customHeight="1" x14ac:dyDescent="0.2">
      <c r="A17" s="4">
        <v>12</v>
      </c>
      <c r="B17" s="5" t="s">
        <v>116</v>
      </c>
      <c r="C17" s="5" t="s">
        <v>117</v>
      </c>
      <c r="D17" s="6" t="s">
        <v>31</v>
      </c>
      <c r="E17" s="7">
        <v>843004400</v>
      </c>
      <c r="F17" s="5">
        <v>843024378</v>
      </c>
    </row>
    <row r="18" spans="1:6" ht="14.25" customHeight="1" x14ac:dyDescent="0.2">
      <c r="A18" s="4">
        <v>13</v>
      </c>
      <c r="B18" s="5" t="s">
        <v>118</v>
      </c>
      <c r="C18" s="5" t="s">
        <v>119</v>
      </c>
      <c r="D18" s="6" t="s">
        <v>9</v>
      </c>
      <c r="E18" s="7">
        <v>842403821</v>
      </c>
      <c r="F18" s="5">
        <v>847557042</v>
      </c>
    </row>
    <row r="19" spans="1:6" ht="14.25" customHeight="1" x14ac:dyDescent="0.2">
      <c r="A19" s="4">
        <v>14</v>
      </c>
      <c r="B19" s="5" t="s">
        <v>120</v>
      </c>
      <c r="C19" s="5" t="s">
        <v>121</v>
      </c>
      <c r="D19" s="6" t="s">
        <v>9</v>
      </c>
      <c r="E19" s="7">
        <v>848011197</v>
      </c>
      <c r="F19" s="5"/>
    </row>
    <row r="20" spans="1:6" ht="14.25" customHeight="1" x14ac:dyDescent="0.2">
      <c r="A20" s="4">
        <v>15</v>
      </c>
      <c r="B20" s="5" t="s">
        <v>122</v>
      </c>
      <c r="C20" s="5" t="s">
        <v>123</v>
      </c>
      <c r="D20" s="6" t="s">
        <v>31</v>
      </c>
      <c r="E20" s="7">
        <v>842111008</v>
      </c>
      <c r="F20" s="5">
        <v>846600610</v>
      </c>
    </row>
    <row r="21" spans="1:6" ht="14.25" customHeight="1" x14ac:dyDescent="0.2">
      <c r="A21" s="4">
        <v>16</v>
      </c>
      <c r="B21" s="5" t="s">
        <v>124</v>
      </c>
      <c r="C21" s="5" t="s">
        <v>125</v>
      </c>
      <c r="D21" s="6" t="s">
        <v>31</v>
      </c>
      <c r="E21" s="7">
        <v>824168358</v>
      </c>
      <c r="F21" s="5"/>
    </row>
    <row r="22" spans="1:6" ht="14.25" customHeight="1" x14ac:dyDescent="0.2">
      <c r="A22" s="4">
        <v>17</v>
      </c>
      <c r="B22" s="8" t="s">
        <v>126</v>
      </c>
      <c r="C22" s="8" t="s">
        <v>127</v>
      </c>
      <c r="D22" s="8" t="s">
        <v>9</v>
      </c>
      <c r="E22" s="8">
        <v>843117675</v>
      </c>
      <c r="F22" s="8"/>
    </row>
    <row r="23" spans="1:6" ht="14.25" customHeight="1" x14ac:dyDescent="0.2">
      <c r="A23" s="4">
        <v>18</v>
      </c>
      <c r="B23" s="8" t="s">
        <v>128</v>
      </c>
      <c r="C23" s="8" t="s">
        <v>64</v>
      </c>
      <c r="D23" s="8" t="s">
        <v>9</v>
      </c>
      <c r="E23" s="8">
        <v>843023683</v>
      </c>
      <c r="F23" s="8">
        <v>844936201</v>
      </c>
    </row>
    <row r="24" spans="1:6" ht="14.25" customHeight="1" x14ac:dyDescent="0.2">
      <c r="A24" s="4">
        <v>19</v>
      </c>
      <c r="B24" s="8"/>
      <c r="C24" s="8"/>
      <c r="D24" s="8"/>
      <c r="E24" s="8"/>
      <c r="F24" s="8"/>
    </row>
    <row r="25" spans="1:6" ht="14.25" customHeight="1" x14ac:dyDescent="0.2">
      <c r="A25" s="4">
        <v>20</v>
      </c>
      <c r="B25" s="8"/>
      <c r="C25" s="8"/>
      <c r="D25" s="8"/>
      <c r="E25" s="8"/>
      <c r="F25" s="8"/>
    </row>
    <row r="26" spans="1:6" ht="14.25" customHeight="1" x14ac:dyDescent="0.2">
      <c r="A26" s="4">
        <v>21</v>
      </c>
      <c r="B26" s="8"/>
      <c r="C26" s="8"/>
      <c r="D26" s="8"/>
      <c r="E26" s="8"/>
      <c r="F26" s="8"/>
    </row>
    <row r="27" spans="1:6" ht="14.25" customHeight="1" x14ac:dyDescent="0.2">
      <c r="A27" s="4">
        <v>22</v>
      </c>
      <c r="B27" s="8"/>
      <c r="C27" s="8"/>
      <c r="D27" s="8"/>
      <c r="E27" s="8"/>
      <c r="F27" s="8"/>
    </row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997"/>
  <sheetViews>
    <sheetView workbookViewId="0"/>
  </sheetViews>
  <sheetFormatPr baseColWidth="10" defaultColWidth="14.5" defaultRowHeight="15" customHeight="1" x14ac:dyDescent="0.2"/>
  <cols>
    <col min="1" max="1" width="3.5" customWidth="1"/>
    <col min="2" max="2" width="14" customWidth="1"/>
    <col min="3" max="3" width="28.33203125" customWidth="1"/>
    <col min="4" max="4" width="8.1640625" customWidth="1"/>
    <col min="5" max="5" width="16.5" customWidth="1"/>
    <col min="6" max="6" width="16" customWidth="1"/>
    <col min="7" max="23" width="8.6640625" customWidth="1"/>
  </cols>
  <sheetData>
    <row r="1" spans="1:6" ht="14.25" customHeight="1" x14ac:dyDescent="0.2">
      <c r="C1" s="1" t="s">
        <v>0</v>
      </c>
    </row>
    <row r="2" spans="1:6" ht="14.25" customHeight="1" x14ac:dyDescent="0.2">
      <c r="C2" s="1" t="s">
        <v>129</v>
      </c>
    </row>
    <row r="3" spans="1:6" ht="14.25" customHeight="1" x14ac:dyDescent="0.2">
      <c r="C3" s="1" t="s">
        <v>130</v>
      </c>
    </row>
    <row r="4" spans="1:6" ht="14.25" customHeight="1" x14ac:dyDescent="0.2">
      <c r="A4" s="2" t="s">
        <v>3</v>
      </c>
      <c r="B4" s="3" t="s">
        <v>4</v>
      </c>
      <c r="C4" s="3" t="s">
        <v>5</v>
      </c>
    </row>
    <row r="5" spans="1:6" ht="14.25" customHeight="1" x14ac:dyDescent="0.2">
      <c r="A5" s="4">
        <v>1</v>
      </c>
      <c r="B5" s="5" t="s">
        <v>94</v>
      </c>
      <c r="C5" s="5" t="s">
        <v>95</v>
      </c>
      <c r="D5" s="2" t="s">
        <v>6</v>
      </c>
      <c r="E5" s="2" t="s">
        <v>48</v>
      </c>
      <c r="F5" s="2" t="s">
        <v>48</v>
      </c>
    </row>
    <row r="6" spans="1:6" ht="14.25" customHeight="1" x14ac:dyDescent="0.2">
      <c r="A6" s="4">
        <v>2</v>
      </c>
      <c r="B6" s="5" t="s">
        <v>96</v>
      </c>
      <c r="C6" s="5" t="s">
        <v>97</v>
      </c>
      <c r="D6" s="6" t="s">
        <v>31</v>
      </c>
      <c r="E6" s="7">
        <v>843092240</v>
      </c>
      <c r="F6" s="5">
        <v>843039391</v>
      </c>
    </row>
    <row r="7" spans="1:6" ht="14.25" customHeight="1" x14ac:dyDescent="0.2">
      <c r="A7" s="4">
        <v>3</v>
      </c>
      <c r="B7" s="5" t="s">
        <v>98</v>
      </c>
      <c r="C7" s="5" t="s">
        <v>99</v>
      </c>
      <c r="D7" s="6" t="s">
        <v>31</v>
      </c>
      <c r="E7" s="7">
        <v>844646469</v>
      </c>
      <c r="F7" s="5">
        <v>825406036</v>
      </c>
    </row>
    <row r="8" spans="1:6" ht="14.25" customHeight="1" x14ac:dyDescent="0.2">
      <c r="A8" s="4">
        <v>4</v>
      </c>
      <c r="B8" s="10" t="s">
        <v>100</v>
      </c>
      <c r="C8" s="10" t="s">
        <v>101</v>
      </c>
      <c r="D8" s="6" t="s">
        <v>31</v>
      </c>
      <c r="E8" s="7">
        <v>844108676</v>
      </c>
      <c r="F8" s="5">
        <v>844108667</v>
      </c>
    </row>
    <row r="9" spans="1:6" ht="14.25" customHeight="1" x14ac:dyDescent="0.2">
      <c r="A9" s="4">
        <v>5</v>
      </c>
      <c r="B9" s="5" t="s">
        <v>102</v>
      </c>
      <c r="C9" s="5" t="s">
        <v>103</v>
      </c>
      <c r="D9" s="6" t="s">
        <v>9</v>
      </c>
      <c r="E9" s="7" t="s">
        <v>131</v>
      </c>
      <c r="F9" s="5">
        <v>876869101</v>
      </c>
    </row>
    <row r="10" spans="1:6" ht="14.25" customHeight="1" x14ac:dyDescent="0.2">
      <c r="A10" s="4">
        <v>6</v>
      </c>
      <c r="B10" s="5" t="s">
        <v>104</v>
      </c>
      <c r="C10" s="5" t="s">
        <v>105</v>
      </c>
      <c r="D10" s="6" t="s">
        <v>9</v>
      </c>
      <c r="E10" s="7">
        <v>874471441</v>
      </c>
      <c r="F10" s="5">
        <v>824721050</v>
      </c>
    </row>
    <row r="11" spans="1:6" ht="14.25" customHeight="1" x14ac:dyDescent="0.2">
      <c r="A11" s="4">
        <v>7</v>
      </c>
      <c r="B11" s="5" t="s">
        <v>106</v>
      </c>
      <c r="C11" s="5" t="s">
        <v>107</v>
      </c>
      <c r="D11" s="6" t="s">
        <v>9</v>
      </c>
      <c r="E11" s="7">
        <v>828663060</v>
      </c>
      <c r="F11" s="5">
        <v>840239839</v>
      </c>
    </row>
    <row r="12" spans="1:6" ht="14.25" customHeight="1" x14ac:dyDescent="0.2">
      <c r="A12" s="4">
        <v>8</v>
      </c>
      <c r="B12" s="5" t="s">
        <v>108</v>
      </c>
      <c r="C12" s="5" t="s">
        <v>109</v>
      </c>
      <c r="D12" s="6" t="s">
        <v>9</v>
      </c>
      <c r="E12" s="7" t="s">
        <v>132</v>
      </c>
      <c r="F12" s="5">
        <v>848393000</v>
      </c>
    </row>
    <row r="13" spans="1:6" ht="14.25" customHeight="1" x14ac:dyDescent="0.2">
      <c r="A13" s="4">
        <v>9</v>
      </c>
      <c r="B13" s="5" t="s">
        <v>110</v>
      </c>
      <c r="C13" s="5" t="s">
        <v>111</v>
      </c>
      <c r="D13" s="6" t="s">
        <v>31</v>
      </c>
      <c r="E13" s="7"/>
      <c r="F13" s="5"/>
    </row>
    <row r="14" spans="1:6" ht="14.25" customHeight="1" x14ac:dyDescent="0.2">
      <c r="A14" s="4">
        <v>10</v>
      </c>
      <c r="B14" s="5" t="s">
        <v>112</v>
      </c>
      <c r="C14" s="5" t="s">
        <v>113</v>
      </c>
      <c r="D14" s="6" t="s">
        <v>31</v>
      </c>
      <c r="E14" s="7">
        <v>841777552</v>
      </c>
      <c r="F14" s="5">
        <v>851432160</v>
      </c>
    </row>
    <row r="15" spans="1:6" ht="14.25" customHeight="1" x14ac:dyDescent="0.2">
      <c r="A15" s="4">
        <v>11</v>
      </c>
      <c r="B15" s="5" t="s">
        <v>114</v>
      </c>
      <c r="C15" s="5" t="s">
        <v>115</v>
      </c>
      <c r="D15" s="14" t="s">
        <v>31</v>
      </c>
      <c r="E15" s="9"/>
      <c r="F15" s="9"/>
    </row>
    <row r="16" spans="1:6" ht="14.25" customHeight="1" x14ac:dyDescent="0.2">
      <c r="A16" s="4">
        <v>12</v>
      </c>
      <c r="B16" s="5" t="s">
        <v>116</v>
      </c>
      <c r="C16" s="5" t="s">
        <v>117</v>
      </c>
      <c r="D16" s="6" t="s">
        <v>9</v>
      </c>
      <c r="E16" s="7">
        <v>847303865</v>
      </c>
      <c r="F16" s="5">
        <v>847353805</v>
      </c>
    </row>
    <row r="17" spans="1:10" ht="14.25" customHeight="1" x14ac:dyDescent="0.2">
      <c r="A17" s="4">
        <v>13</v>
      </c>
      <c r="B17" s="5" t="s">
        <v>118</v>
      </c>
      <c r="C17" s="5" t="s">
        <v>119</v>
      </c>
      <c r="D17" s="6" t="s">
        <v>31</v>
      </c>
      <c r="E17" s="7"/>
      <c r="F17" s="5">
        <v>824609270</v>
      </c>
    </row>
    <row r="18" spans="1:10" ht="14.25" customHeight="1" x14ac:dyDescent="0.2">
      <c r="A18" s="4">
        <v>14</v>
      </c>
      <c r="B18" s="5" t="s">
        <v>120</v>
      </c>
      <c r="C18" s="5" t="s">
        <v>121</v>
      </c>
      <c r="D18" s="6" t="s">
        <v>9</v>
      </c>
      <c r="E18" s="7">
        <v>821527160</v>
      </c>
      <c r="F18" s="5">
        <v>828655778</v>
      </c>
    </row>
    <row r="19" spans="1:10" ht="14.25" customHeight="1" x14ac:dyDescent="0.2">
      <c r="A19" s="4">
        <v>15</v>
      </c>
      <c r="B19" s="5" t="s">
        <v>122</v>
      </c>
      <c r="C19" s="5" t="s">
        <v>123</v>
      </c>
      <c r="D19" s="6" t="s">
        <v>9</v>
      </c>
      <c r="E19" s="7">
        <v>845222366</v>
      </c>
      <c r="F19" s="5"/>
    </row>
    <row r="20" spans="1:10" ht="14.25" customHeight="1" x14ac:dyDescent="0.2">
      <c r="A20" s="4">
        <v>16</v>
      </c>
      <c r="B20" s="5" t="s">
        <v>124</v>
      </c>
      <c r="C20" s="5" t="s">
        <v>125</v>
      </c>
      <c r="D20" s="6" t="s">
        <v>9</v>
      </c>
      <c r="E20" s="7" t="s">
        <v>133</v>
      </c>
      <c r="F20" s="5">
        <v>852626030</v>
      </c>
    </row>
    <row r="21" spans="1:10" ht="14.25" customHeight="1" x14ac:dyDescent="0.2">
      <c r="A21" s="4">
        <v>17</v>
      </c>
      <c r="B21" s="8" t="s">
        <v>126</v>
      </c>
      <c r="C21" s="8" t="s">
        <v>127</v>
      </c>
      <c r="D21" s="6" t="s">
        <v>31</v>
      </c>
      <c r="E21" s="7">
        <v>845077835</v>
      </c>
      <c r="F21" s="5"/>
    </row>
    <row r="22" spans="1:10" ht="14.25" customHeight="1" x14ac:dyDescent="0.2">
      <c r="A22" s="4">
        <v>18</v>
      </c>
      <c r="B22" s="8" t="s">
        <v>128</v>
      </c>
      <c r="C22" s="8" t="s">
        <v>64</v>
      </c>
      <c r="D22" s="8" t="s">
        <v>20</v>
      </c>
      <c r="E22" s="9">
        <v>843152950</v>
      </c>
      <c r="F22" s="9">
        <v>879152950</v>
      </c>
    </row>
    <row r="23" spans="1:10" ht="14.25" customHeight="1" x14ac:dyDescent="0.2">
      <c r="A23" s="4">
        <v>18</v>
      </c>
      <c r="B23" s="5" t="s">
        <v>134</v>
      </c>
      <c r="C23" s="5" t="s">
        <v>135</v>
      </c>
      <c r="D23" s="6" t="s">
        <v>9</v>
      </c>
      <c r="E23" s="7">
        <v>843102323</v>
      </c>
      <c r="F23" s="5">
        <v>842722662</v>
      </c>
    </row>
    <row r="24" spans="1:10" ht="14.25" customHeight="1" x14ac:dyDescent="0.2">
      <c r="A24" s="4">
        <v>19</v>
      </c>
      <c r="B24" s="5" t="s">
        <v>136</v>
      </c>
      <c r="C24" s="5" t="s">
        <v>137</v>
      </c>
      <c r="D24" s="6" t="s">
        <v>31</v>
      </c>
      <c r="E24" s="7" t="s">
        <v>138</v>
      </c>
      <c r="F24" s="5">
        <v>874000734</v>
      </c>
    </row>
    <row r="25" spans="1:10" ht="14.25" customHeight="1" x14ac:dyDescent="0.2">
      <c r="A25" s="4">
        <v>20</v>
      </c>
      <c r="B25" s="5" t="s">
        <v>139</v>
      </c>
      <c r="C25" s="5" t="s">
        <v>140</v>
      </c>
      <c r="D25" s="6" t="s">
        <v>9</v>
      </c>
      <c r="E25" s="7" t="s">
        <v>141</v>
      </c>
      <c r="F25" s="5">
        <v>848100072</v>
      </c>
    </row>
    <row r="26" spans="1:10" ht="14.25" customHeight="1" x14ac:dyDescent="0.2">
      <c r="A26" s="4">
        <v>21</v>
      </c>
      <c r="B26" s="5" t="s">
        <v>142</v>
      </c>
      <c r="C26" s="5" t="s">
        <v>143</v>
      </c>
      <c r="D26" s="6" t="s">
        <v>31</v>
      </c>
      <c r="E26" s="7" t="s">
        <v>144</v>
      </c>
      <c r="F26" s="5">
        <v>841454677</v>
      </c>
    </row>
    <row r="27" spans="1:10" ht="14.25" customHeight="1" x14ac:dyDescent="0.2">
      <c r="A27" s="4">
        <v>22</v>
      </c>
      <c r="B27" s="5" t="s">
        <v>145</v>
      </c>
      <c r="C27" s="5" t="s">
        <v>146</v>
      </c>
      <c r="D27" s="6" t="s">
        <v>9</v>
      </c>
      <c r="E27" s="7">
        <v>824812430</v>
      </c>
      <c r="F27" s="5">
        <v>847484668</v>
      </c>
      <c r="J27" s="8"/>
    </row>
    <row r="28" spans="1:10" ht="14.25" customHeight="1" x14ac:dyDescent="0.2">
      <c r="A28" s="4">
        <v>23</v>
      </c>
      <c r="B28" s="5" t="s">
        <v>147</v>
      </c>
      <c r="C28" s="5" t="s">
        <v>148</v>
      </c>
      <c r="D28" s="6" t="s">
        <v>31</v>
      </c>
      <c r="E28" s="7" t="s">
        <v>149</v>
      </c>
      <c r="F28" s="5">
        <v>845762644</v>
      </c>
    </row>
    <row r="29" spans="1:10" ht="14.25" customHeight="1" x14ac:dyDescent="0.2">
      <c r="A29" s="4">
        <v>24</v>
      </c>
      <c r="B29" s="5" t="s">
        <v>150</v>
      </c>
      <c r="C29" s="5" t="s">
        <v>151</v>
      </c>
      <c r="D29" s="6" t="s">
        <v>31</v>
      </c>
      <c r="E29" s="7"/>
      <c r="F29" s="5"/>
    </row>
    <row r="30" spans="1:10" ht="14.25" customHeight="1" x14ac:dyDescent="0.2">
      <c r="A30" s="4">
        <v>25</v>
      </c>
      <c r="B30" s="5" t="s">
        <v>152</v>
      </c>
      <c r="C30" s="5" t="s">
        <v>153</v>
      </c>
      <c r="D30" s="6" t="s">
        <v>31</v>
      </c>
      <c r="E30" s="7" t="s">
        <v>154</v>
      </c>
      <c r="F30" s="5">
        <v>842546992</v>
      </c>
    </row>
    <row r="31" spans="1:10" ht="14.25" customHeight="1" x14ac:dyDescent="0.2"/>
    <row r="32" spans="1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992"/>
  <sheetViews>
    <sheetView workbookViewId="0"/>
  </sheetViews>
  <sheetFormatPr baseColWidth="10" defaultColWidth="14.5" defaultRowHeight="15" customHeight="1" x14ac:dyDescent="0.2"/>
  <cols>
    <col min="1" max="1" width="7" customWidth="1"/>
    <col min="2" max="2" width="16.5" customWidth="1"/>
    <col min="3" max="3" width="30.5" customWidth="1"/>
    <col min="4" max="4" width="8.1640625" customWidth="1"/>
    <col min="5" max="5" width="14" customWidth="1"/>
    <col min="6" max="6" width="13.83203125" customWidth="1"/>
    <col min="7" max="23" width="8.6640625" customWidth="1"/>
  </cols>
  <sheetData>
    <row r="1" spans="1:6" ht="14.25" customHeight="1" x14ac:dyDescent="0.2">
      <c r="C1" s="1" t="s">
        <v>0</v>
      </c>
    </row>
    <row r="2" spans="1:6" ht="14.25" customHeight="1" x14ac:dyDescent="0.2">
      <c r="C2" s="1" t="s">
        <v>155</v>
      </c>
    </row>
    <row r="3" spans="1:6" ht="14.25" customHeight="1" x14ac:dyDescent="0.2">
      <c r="C3" s="1" t="s">
        <v>156</v>
      </c>
    </row>
    <row r="4" spans="1:6" ht="14.25" customHeight="1" x14ac:dyDescent="0.2"/>
    <row r="5" spans="1:6" ht="14.25" customHeight="1" x14ac:dyDescent="0.2">
      <c r="A5" s="3" t="s">
        <v>157</v>
      </c>
      <c r="B5" s="3" t="s">
        <v>4</v>
      </c>
      <c r="C5" s="3" t="s">
        <v>5</v>
      </c>
      <c r="D5" s="2" t="s">
        <v>6</v>
      </c>
      <c r="E5" s="2" t="s">
        <v>48</v>
      </c>
      <c r="F5" s="2" t="s">
        <v>48</v>
      </c>
    </row>
    <row r="6" spans="1:6" ht="14.25" customHeight="1" x14ac:dyDescent="0.2">
      <c r="A6" s="5">
        <v>1</v>
      </c>
      <c r="B6" s="5" t="s">
        <v>158</v>
      </c>
      <c r="C6" s="5" t="s">
        <v>159</v>
      </c>
      <c r="D6" s="6" t="s">
        <v>9</v>
      </c>
      <c r="E6" s="7" t="s">
        <v>160</v>
      </c>
      <c r="F6" s="5">
        <v>867468300</v>
      </c>
    </row>
    <row r="7" spans="1:6" ht="14.25" customHeight="1" x14ac:dyDescent="0.2">
      <c r="A7" s="5">
        <v>2</v>
      </c>
      <c r="B7" s="8" t="s">
        <v>161</v>
      </c>
      <c r="C7" s="8" t="s">
        <v>162</v>
      </c>
      <c r="D7" s="14" t="s">
        <v>31</v>
      </c>
      <c r="E7" s="9">
        <v>844891201</v>
      </c>
      <c r="F7" s="8"/>
    </row>
    <row r="8" spans="1:6" ht="14.25" customHeight="1" x14ac:dyDescent="0.2">
      <c r="A8" s="5">
        <v>3</v>
      </c>
      <c r="B8" s="5" t="s">
        <v>163</v>
      </c>
      <c r="C8" s="5" t="s">
        <v>164</v>
      </c>
      <c r="D8" s="6" t="s">
        <v>9</v>
      </c>
      <c r="E8" s="7" t="s">
        <v>165</v>
      </c>
      <c r="F8" s="5">
        <v>828665180</v>
      </c>
    </row>
    <row r="9" spans="1:6" ht="14.25" customHeight="1" x14ac:dyDescent="0.2">
      <c r="A9" s="5">
        <v>4</v>
      </c>
      <c r="B9" s="5" t="s">
        <v>166</v>
      </c>
      <c r="C9" s="5" t="s">
        <v>166</v>
      </c>
      <c r="D9" s="6" t="s">
        <v>31</v>
      </c>
      <c r="E9" s="7" t="s">
        <v>167</v>
      </c>
      <c r="F9" s="5">
        <v>847400205</v>
      </c>
    </row>
    <row r="10" spans="1:6" ht="14.25" customHeight="1" x14ac:dyDescent="0.2">
      <c r="A10" s="5">
        <v>5</v>
      </c>
      <c r="B10" s="5" t="s">
        <v>168</v>
      </c>
      <c r="C10" s="5" t="s">
        <v>169</v>
      </c>
      <c r="D10" s="6" t="s">
        <v>9</v>
      </c>
      <c r="E10" s="7" t="s">
        <v>170</v>
      </c>
      <c r="F10" s="5">
        <v>849601496</v>
      </c>
    </row>
    <row r="11" spans="1:6" ht="14.25" customHeight="1" x14ac:dyDescent="0.2">
      <c r="A11" s="5">
        <v>6</v>
      </c>
      <c r="B11" s="5" t="s">
        <v>171</v>
      </c>
      <c r="C11" s="5" t="s">
        <v>172</v>
      </c>
      <c r="D11" s="6" t="s">
        <v>31</v>
      </c>
      <c r="E11" s="7" t="s">
        <v>173</v>
      </c>
      <c r="F11" s="5">
        <v>843136202</v>
      </c>
    </row>
    <row r="12" spans="1:6" ht="14.25" customHeight="1" x14ac:dyDescent="0.2">
      <c r="A12" s="5">
        <v>7</v>
      </c>
      <c r="B12" s="5" t="s">
        <v>174</v>
      </c>
      <c r="C12" s="5" t="s">
        <v>101</v>
      </c>
      <c r="D12" s="6" t="s">
        <v>31</v>
      </c>
      <c r="E12" s="7" t="s">
        <v>175</v>
      </c>
      <c r="F12" s="5">
        <v>874968959</v>
      </c>
    </row>
    <row r="13" spans="1:6" ht="14.25" customHeight="1" x14ac:dyDescent="0.2">
      <c r="A13" s="5">
        <v>8</v>
      </c>
      <c r="B13" s="8" t="s">
        <v>176</v>
      </c>
      <c r="C13" s="8" t="s">
        <v>177</v>
      </c>
      <c r="D13" s="14" t="s">
        <v>31</v>
      </c>
      <c r="E13" s="8"/>
      <c r="F13" s="8"/>
    </row>
    <row r="14" spans="1:6" ht="14.25" customHeight="1" x14ac:dyDescent="0.2">
      <c r="A14" s="5">
        <v>9</v>
      </c>
      <c r="B14" s="5" t="s">
        <v>178</v>
      </c>
      <c r="C14" s="5" t="s">
        <v>179</v>
      </c>
      <c r="D14" s="6" t="s">
        <v>9</v>
      </c>
      <c r="E14" s="7"/>
      <c r="F14" s="5"/>
    </row>
    <row r="15" spans="1:6" ht="14.25" customHeight="1" x14ac:dyDescent="0.2">
      <c r="A15" s="5">
        <v>10</v>
      </c>
      <c r="B15" s="5" t="s">
        <v>180</v>
      </c>
      <c r="C15" s="5" t="s">
        <v>181</v>
      </c>
      <c r="D15" s="6" t="s">
        <v>31</v>
      </c>
      <c r="E15" s="7">
        <v>824263940</v>
      </c>
      <c r="F15" s="5">
        <v>824708680</v>
      </c>
    </row>
    <row r="16" spans="1:6" ht="14.25" customHeight="1" x14ac:dyDescent="0.2">
      <c r="A16" s="5">
        <v>11</v>
      </c>
      <c r="B16" s="5" t="s">
        <v>182</v>
      </c>
      <c r="C16" s="5" t="s">
        <v>183</v>
      </c>
      <c r="D16" s="6" t="s">
        <v>31</v>
      </c>
      <c r="E16" s="7"/>
      <c r="F16" s="5"/>
    </row>
    <row r="17" spans="1:6" ht="14.25" customHeight="1" x14ac:dyDescent="0.2">
      <c r="A17" s="5">
        <v>12</v>
      </c>
      <c r="B17" s="5" t="s">
        <v>184</v>
      </c>
      <c r="C17" s="5" t="s">
        <v>185</v>
      </c>
      <c r="D17" s="6" t="s">
        <v>9</v>
      </c>
      <c r="E17" s="7">
        <v>844697720</v>
      </c>
      <c r="F17" s="5"/>
    </row>
    <row r="18" spans="1:6" ht="14.25" customHeight="1" x14ac:dyDescent="0.2">
      <c r="A18" s="5">
        <v>13</v>
      </c>
      <c r="B18" s="5" t="s">
        <v>186</v>
      </c>
      <c r="C18" s="5" t="s">
        <v>187</v>
      </c>
      <c r="D18" s="6" t="s">
        <v>31</v>
      </c>
      <c r="E18" s="7">
        <v>846260468</v>
      </c>
      <c r="F18" s="5">
        <v>845014782</v>
      </c>
    </row>
    <row r="19" spans="1:6" ht="14.25" customHeight="1" x14ac:dyDescent="0.2">
      <c r="A19" s="5">
        <v>14</v>
      </c>
      <c r="B19" s="5" t="s">
        <v>112</v>
      </c>
      <c r="C19" s="5" t="s">
        <v>188</v>
      </c>
      <c r="D19" s="6" t="s">
        <v>9</v>
      </c>
      <c r="E19" s="7">
        <v>844211050</v>
      </c>
      <c r="F19" s="5"/>
    </row>
    <row r="20" spans="1:6" ht="14.25" customHeight="1" x14ac:dyDescent="0.2">
      <c r="A20" s="5">
        <v>15</v>
      </c>
      <c r="B20" s="5" t="s">
        <v>189</v>
      </c>
      <c r="C20" s="5" t="s">
        <v>190</v>
      </c>
      <c r="D20" s="6" t="s">
        <v>31</v>
      </c>
      <c r="E20" s="7">
        <v>843981108</v>
      </c>
      <c r="F20" s="5"/>
    </row>
    <row r="21" spans="1:6" ht="14.25" customHeight="1" x14ac:dyDescent="0.2">
      <c r="A21" s="5">
        <v>16</v>
      </c>
      <c r="B21" s="5" t="s">
        <v>189</v>
      </c>
      <c r="C21" s="5" t="s">
        <v>191</v>
      </c>
      <c r="D21" s="6" t="s">
        <v>31</v>
      </c>
      <c r="E21" s="7">
        <v>843981108</v>
      </c>
      <c r="F21" s="5"/>
    </row>
    <row r="22" spans="1:6" ht="14.25" customHeight="1" x14ac:dyDescent="0.2">
      <c r="A22" s="5">
        <v>17</v>
      </c>
      <c r="B22" s="5" t="s">
        <v>192</v>
      </c>
      <c r="C22" s="5" t="s">
        <v>193</v>
      </c>
      <c r="D22" s="6" t="s">
        <v>31</v>
      </c>
      <c r="E22" s="7">
        <v>823955930</v>
      </c>
      <c r="F22" s="5">
        <v>823061549</v>
      </c>
    </row>
    <row r="23" spans="1:6" ht="14.25" customHeight="1" x14ac:dyDescent="0.2">
      <c r="A23" s="5">
        <v>18</v>
      </c>
      <c r="B23" s="5" t="s">
        <v>194</v>
      </c>
      <c r="C23" s="5" t="s">
        <v>195</v>
      </c>
      <c r="D23" s="6" t="s">
        <v>31</v>
      </c>
      <c r="E23" s="7"/>
      <c r="F23" s="5"/>
    </row>
    <row r="24" spans="1:6" ht="14.25" customHeight="1" x14ac:dyDescent="0.2">
      <c r="A24" s="5">
        <v>19</v>
      </c>
      <c r="B24" s="5" t="s">
        <v>145</v>
      </c>
      <c r="C24" s="5" t="s">
        <v>196</v>
      </c>
      <c r="D24" s="6" t="s">
        <v>9</v>
      </c>
      <c r="E24" s="7">
        <v>824812430</v>
      </c>
      <c r="F24" s="5"/>
    </row>
    <row r="25" spans="1:6" ht="14.25" customHeight="1" x14ac:dyDescent="0.2">
      <c r="A25" s="5">
        <v>20</v>
      </c>
      <c r="B25" s="5" t="s">
        <v>126</v>
      </c>
      <c r="C25" s="5" t="s">
        <v>197</v>
      </c>
      <c r="D25" s="6" t="s">
        <v>9</v>
      </c>
      <c r="E25" s="7" t="s">
        <v>198</v>
      </c>
      <c r="F25" s="5">
        <v>824253310</v>
      </c>
    </row>
    <row r="26" spans="1:6" ht="14.25" customHeight="1" x14ac:dyDescent="0.2">
      <c r="A26" s="9">
        <v>21</v>
      </c>
      <c r="B26" s="5" t="s">
        <v>199</v>
      </c>
      <c r="C26" s="5" t="s">
        <v>200</v>
      </c>
      <c r="D26" s="6" t="s">
        <v>31</v>
      </c>
      <c r="E26" s="7">
        <v>847273739</v>
      </c>
      <c r="F26" s="5">
        <v>8447951101</v>
      </c>
    </row>
    <row r="27" spans="1:6" ht="14.25" customHeight="1" x14ac:dyDescent="0.2">
      <c r="A27" s="9">
        <v>22</v>
      </c>
      <c r="B27" s="5" t="s">
        <v>201</v>
      </c>
      <c r="C27" s="5" t="s">
        <v>202</v>
      </c>
      <c r="D27" s="6" t="s">
        <v>31</v>
      </c>
      <c r="E27" s="7">
        <v>844000001</v>
      </c>
      <c r="F27" s="5">
        <v>846070550</v>
      </c>
    </row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</sheetData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990"/>
  <sheetViews>
    <sheetView workbookViewId="0">
      <selection activeCell="D1" sqref="D1:F1048576"/>
    </sheetView>
  </sheetViews>
  <sheetFormatPr baseColWidth="10" defaultColWidth="14.5" defaultRowHeight="15" customHeight="1" x14ac:dyDescent="0.2"/>
  <cols>
    <col min="1" max="1" width="3.5" customWidth="1"/>
    <col min="2" max="2" width="12.83203125" customWidth="1"/>
    <col min="3" max="3" width="25.33203125" customWidth="1"/>
    <col min="4" max="4" width="8.1640625" customWidth="1"/>
    <col min="5" max="5" width="16.33203125" customWidth="1"/>
    <col min="6" max="6" width="14.83203125" customWidth="1"/>
    <col min="7" max="23" width="8.6640625" customWidth="1"/>
  </cols>
  <sheetData>
    <row r="1" spans="1:6" ht="14.25" customHeight="1" x14ac:dyDescent="0.2">
      <c r="C1" s="1" t="s">
        <v>0</v>
      </c>
      <c r="D1" s="1"/>
    </row>
    <row r="2" spans="1:6" ht="14.25" customHeight="1" x14ac:dyDescent="0.2">
      <c r="C2" s="1" t="s">
        <v>203</v>
      </c>
      <c r="D2" s="1"/>
    </row>
    <row r="3" spans="1:6" ht="14.25" customHeight="1" x14ac:dyDescent="0.2">
      <c r="C3" s="1" t="s">
        <v>204</v>
      </c>
      <c r="D3" s="1"/>
    </row>
    <row r="4" spans="1:6" ht="14.25" customHeight="1" x14ac:dyDescent="0.2"/>
    <row r="5" spans="1:6" ht="14.25" customHeight="1" x14ac:dyDescent="0.2">
      <c r="A5" s="2" t="s">
        <v>3</v>
      </c>
      <c r="B5" s="3" t="s">
        <v>4</v>
      </c>
      <c r="C5" s="3" t="s">
        <v>5</v>
      </c>
      <c r="D5" s="2"/>
      <c r="E5" s="2"/>
      <c r="F5" s="2"/>
    </row>
    <row r="6" spans="1:6" ht="14.25" customHeight="1" x14ac:dyDescent="0.2">
      <c r="A6" s="4">
        <v>1</v>
      </c>
      <c r="B6" s="5" t="s">
        <v>205</v>
      </c>
      <c r="C6" s="5" t="s">
        <v>206</v>
      </c>
      <c r="D6" s="6"/>
      <c r="E6" s="7"/>
      <c r="F6" s="5"/>
    </row>
    <row r="7" spans="1:6" ht="14.25" customHeight="1" x14ac:dyDescent="0.2">
      <c r="A7" s="4">
        <v>2</v>
      </c>
      <c r="B7" s="5" t="s">
        <v>207</v>
      </c>
      <c r="C7" s="5" t="s">
        <v>208</v>
      </c>
      <c r="D7" s="6"/>
      <c r="E7" s="7"/>
      <c r="F7" s="5"/>
    </row>
    <row r="8" spans="1:6" ht="14.25" customHeight="1" x14ac:dyDescent="0.2">
      <c r="A8" s="4">
        <v>3</v>
      </c>
      <c r="B8" s="5" t="s">
        <v>209</v>
      </c>
      <c r="C8" s="5" t="s">
        <v>210</v>
      </c>
      <c r="D8" s="6"/>
      <c r="E8" s="7"/>
      <c r="F8" s="5"/>
    </row>
    <row r="9" spans="1:6" ht="14.25" customHeight="1" x14ac:dyDescent="0.2">
      <c r="A9" s="4">
        <v>4</v>
      </c>
      <c r="B9" s="5" t="s">
        <v>211</v>
      </c>
      <c r="C9" s="5" t="s">
        <v>212</v>
      </c>
      <c r="D9" s="6"/>
      <c r="E9" s="7"/>
      <c r="F9" s="5"/>
    </row>
    <row r="10" spans="1:6" ht="14.25" customHeight="1" x14ac:dyDescent="0.2">
      <c r="A10" s="4">
        <v>5</v>
      </c>
      <c r="B10" s="5" t="s">
        <v>213</v>
      </c>
      <c r="C10" s="5" t="s">
        <v>214</v>
      </c>
      <c r="D10" s="6"/>
      <c r="E10" s="7"/>
      <c r="F10" s="5"/>
    </row>
    <row r="11" spans="1:6" ht="14.25" customHeight="1" x14ac:dyDescent="0.2">
      <c r="A11" s="4">
        <v>6</v>
      </c>
      <c r="B11" s="5" t="s">
        <v>215</v>
      </c>
      <c r="C11" s="5" t="s">
        <v>216</v>
      </c>
      <c r="D11" s="6"/>
      <c r="E11" s="7"/>
      <c r="F11" s="5"/>
    </row>
    <row r="12" spans="1:6" ht="14.25" customHeight="1" x14ac:dyDescent="0.2">
      <c r="A12" s="4">
        <v>7</v>
      </c>
      <c r="B12" s="5" t="s">
        <v>217</v>
      </c>
      <c r="C12" s="5" t="s">
        <v>218</v>
      </c>
      <c r="D12" s="6"/>
      <c r="E12" s="7"/>
      <c r="F12" s="5"/>
    </row>
    <row r="13" spans="1:6" ht="14.25" customHeight="1" x14ac:dyDescent="0.2">
      <c r="A13" s="4">
        <v>8</v>
      </c>
      <c r="B13" s="5" t="s">
        <v>219</v>
      </c>
      <c r="C13" s="5" t="s">
        <v>220</v>
      </c>
      <c r="D13" s="6"/>
      <c r="E13" s="7"/>
      <c r="F13" s="5"/>
    </row>
    <row r="14" spans="1:6" ht="14.25" customHeight="1" x14ac:dyDescent="0.2">
      <c r="A14" s="4">
        <v>9</v>
      </c>
      <c r="B14" s="5" t="s">
        <v>221</v>
      </c>
      <c r="C14" s="5" t="s">
        <v>62</v>
      </c>
      <c r="D14" s="6"/>
      <c r="E14" s="7"/>
      <c r="F14" s="5"/>
    </row>
    <row r="15" spans="1:6" ht="14.25" customHeight="1" x14ac:dyDescent="0.2">
      <c r="A15" s="4">
        <v>10</v>
      </c>
      <c r="B15" s="5" t="s">
        <v>29</v>
      </c>
      <c r="C15" s="5" t="s">
        <v>222</v>
      </c>
      <c r="D15" s="6"/>
      <c r="E15" s="7"/>
      <c r="F15" s="5"/>
    </row>
    <row r="16" spans="1:6" ht="14.25" customHeight="1" x14ac:dyDescent="0.2">
      <c r="A16" s="4">
        <v>11</v>
      </c>
      <c r="B16" s="5" t="s">
        <v>223</v>
      </c>
      <c r="C16" s="5" t="s">
        <v>224</v>
      </c>
      <c r="D16" s="6"/>
      <c r="E16" s="7"/>
      <c r="F16" s="5"/>
    </row>
    <row r="17" spans="1:6" ht="14.25" customHeight="1" x14ac:dyDescent="0.2">
      <c r="A17" s="4">
        <v>12</v>
      </c>
      <c r="B17" s="5" t="s">
        <v>225</v>
      </c>
      <c r="C17" s="5" t="s">
        <v>101</v>
      </c>
      <c r="D17" s="6"/>
      <c r="E17" s="7"/>
      <c r="F17" s="5"/>
    </row>
    <row r="18" spans="1:6" ht="14.25" customHeight="1" x14ac:dyDescent="0.2">
      <c r="A18" s="4">
        <v>13</v>
      </c>
      <c r="B18" s="5" t="s">
        <v>116</v>
      </c>
      <c r="C18" s="5" t="s">
        <v>226</v>
      </c>
      <c r="D18" s="6"/>
      <c r="E18" s="7"/>
      <c r="F18" s="5"/>
    </row>
    <row r="19" spans="1:6" ht="14.25" customHeight="1" x14ac:dyDescent="0.2">
      <c r="A19" s="4">
        <v>14</v>
      </c>
      <c r="B19" s="5" t="s">
        <v>227</v>
      </c>
      <c r="C19" s="5" t="s">
        <v>228</v>
      </c>
      <c r="D19" s="6"/>
      <c r="E19" s="7"/>
      <c r="F19" s="5"/>
    </row>
    <row r="20" spans="1:6" ht="14.25" customHeight="1" x14ac:dyDescent="0.2">
      <c r="A20" s="4">
        <v>15</v>
      </c>
      <c r="B20" s="5" t="s">
        <v>229</v>
      </c>
      <c r="C20" s="5" t="s">
        <v>230</v>
      </c>
      <c r="D20" s="6"/>
      <c r="E20" s="7"/>
      <c r="F20" s="5"/>
    </row>
    <row r="21" spans="1:6" ht="14.25" customHeight="1" x14ac:dyDescent="0.2">
      <c r="A21" s="4">
        <v>16</v>
      </c>
      <c r="B21" s="5" t="s">
        <v>231</v>
      </c>
      <c r="C21" s="5" t="s">
        <v>232</v>
      </c>
      <c r="D21" s="6"/>
      <c r="E21" s="7"/>
      <c r="F21" s="5"/>
    </row>
    <row r="22" spans="1:6" ht="14.25" customHeight="1" x14ac:dyDescent="0.2">
      <c r="A22" s="4">
        <v>17</v>
      </c>
      <c r="B22" s="5" t="s">
        <v>233</v>
      </c>
      <c r="C22" s="5" t="s">
        <v>234</v>
      </c>
      <c r="D22" s="6"/>
      <c r="E22" s="7"/>
      <c r="F22" s="5"/>
    </row>
    <row r="23" spans="1:6" ht="14.25" customHeight="1" x14ac:dyDescent="0.2">
      <c r="A23" s="4">
        <v>18</v>
      </c>
      <c r="B23" s="5" t="s">
        <v>201</v>
      </c>
      <c r="C23" s="5" t="s">
        <v>235</v>
      </c>
      <c r="D23" s="6"/>
      <c r="E23" s="7"/>
      <c r="F23" s="5"/>
    </row>
    <row r="24" spans="1:6" ht="14.25" customHeight="1" x14ac:dyDescent="0.2">
      <c r="A24" s="4">
        <v>19</v>
      </c>
      <c r="B24" s="8"/>
      <c r="C24" s="8" t="s">
        <v>236</v>
      </c>
      <c r="D24" s="14"/>
      <c r="E24" s="8"/>
      <c r="F24" s="8"/>
    </row>
    <row r="25" spans="1:6" ht="14.25" customHeight="1" x14ac:dyDescent="0.2">
      <c r="A25" s="8">
        <v>20</v>
      </c>
      <c r="B25" s="8"/>
      <c r="C25" s="8" t="s">
        <v>237</v>
      </c>
      <c r="D25" s="14"/>
      <c r="E25" s="8"/>
      <c r="F25" s="8"/>
    </row>
    <row r="26" spans="1:6" ht="14.25" customHeight="1" x14ac:dyDescent="0.2">
      <c r="A26" s="8">
        <v>21</v>
      </c>
      <c r="B26" s="8"/>
      <c r="C26" s="8" t="s">
        <v>238</v>
      </c>
      <c r="D26" s="14"/>
      <c r="E26" s="8"/>
      <c r="F26" s="8"/>
    </row>
    <row r="27" spans="1:6" ht="14.25" customHeight="1" x14ac:dyDescent="0.2">
      <c r="A27" s="8">
        <v>22</v>
      </c>
      <c r="B27" s="8"/>
      <c r="C27" s="8" t="s">
        <v>239</v>
      </c>
      <c r="D27" s="14"/>
      <c r="E27" s="8"/>
      <c r="F27" s="8"/>
    </row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C982"/>
  <sheetViews>
    <sheetView topLeftCell="A7" workbookViewId="0">
      <selection activeCell="AE24" sqref="AE24"/>
    </sheetView>
  </sheetViews>
  <sheetFormatPr baseColWidth="10" defaultColWidth="14.5" defaultRowHeight="15" customHeight="1" x14ac:dyDescent="0.2"/>
  <cols>
    <col min="1" max="1" width="3.5" customWidth="1"/>
    <col min="2" max="2" width="14.33203125" customWidth="1"/>
    <col min="3" max="3" width="26.83203125" customWidth="1"/>
    <col min="4" max="5" width="8.6640625" hidden="1" customWidth="1"/>
    <col min="6" max="6" width="3.6640625" hidden="1" customWidth="1"/>
    <col min="7" max="8" width="8.6640625" hidden="1" customWidth="1"/>
    <col min="9" max="9" width="3" hidden="1" customWidth="1"/>
    <col min="10" max="10" width="8.6640625" customWidth="1"/>
    <col min="11" max="11" width="3.5" customWidth="1"/>
    <col min="12" max="13" width="8.6640625" hidden="1" customWidth="1"/>
    <col min="14" max="17" width="7.6640625" hidden="1" customWidth="1"/>
    <col min="18" max="18" width="7.6640625" customWidth="1"/>
    <col min="19" max="19" width="3.6640625" customWidth="1"/>
    <col min="20" max="21" width="8.6640625" hidden="1" customWidth="1"/>
    <col min="22" max="22" width="3.5" hidden="1" customWidth="1"/>
    <col min="23" max="24" width="8.6640625" hidden="1" customWidth="1"/>
    <col min="25" max="25" width="8.33203125" customWidth="1"/>
    <col min="26" max="26" width="5.1640625" customWidth="1"/>
    <col min="27" max="27" width="10" customWidth="1"/>
    <col min="28" max="28" width="9.5" customWidth="1"/>
    <col min="29" max="29" width="10.6640625" customWidth="1"/>
    <col min="30" max="30" width="7.83203125" customWidth="1"/>
  </cols>
  <sheetData>
    <row r="1" spans="1:29" ht="14.25" customHeight="1" thickBot="1" x14ac:dyDescent="0.25">
      <c r="C1" s="1" t="s">
        <v>240</v>
      </c>
    </row>
    <row r="2" spans="1:29" ht="14.25" customHeight="1" thickBot="1" x14ac:dyDescent="0.25">
      <c r="C2" s="1" t="s">
        <v>241</v>
      </c>
      <c r="D2" s="329" t="s">
        <v>513</v>
      </c>
      <c r="E2" s="330"/>
      <c r="F2" s="330"/>
      <c r="G2" s="330"/>
      <c r="H2" s="330"/>
      <c r="I2" s="330"/>
      <c r="J2" s="331"/>
      <c r="L2" s="332" t="s">
        <v>521</v>
      </c>
      <c r="M2" s="330"/>
      <c r="N2" s="330"/>
      <c r="O2" s="330"/>
      <c r="P2" s="330"/>
      <c r="Q2" s="330"/>
      <c r="R2" s="331"/>
      <c r="T2" s="327" t="s">
        <v>527</v>
      </c>
      <c r="U2" s="328"/>
      <c r="V2" s="328"/>
      <c r="W2" s="328"/>
      <c r="X2" s="328"/>
      <c r="Y2" s="328"/>
      <c r="AA2" s="327" t="s">
        <v>529</v>
      </c>
      <c r="AB2" s="328"/>
      <c r="AC2" s="328"/>
    </row>
    <row r="3" spans="1:29" ht="27.75" customHeight="1" thickBot="1" x14ac:dyDescent="0.25">
      <c r="D3" s="88" t="s">
        <v>514</v>
      </c>
      <c r="E3" s="89"/>
      <c r="G3" s="90" t="s">
        <v>511</v>
      </c>
      <c r="H3" s="91"/>
      <c r="J3" s="92" t="s">
        <v>518</v>
      </c>
      <c r="L3" s="121" t="s">
        <v>515</v>
      </c>
      <c r="M3" s="136"/>
      <c r="N3" s="134" t="s">
        <v>519</v>
      </c>
      <c r="O3" s="137"/>
      <c r="P3" s="138" t="s">
        <v>520</v>
      </c>
      <c r="Q3" s="139"/>
      <c r="R3" s="133" t="s">
        <v>512</v>
      </c>
      <c r="T3" s="333" t="s">
        <v>523</v>
      </c>
      <c r="U3" s="334"/>
      <c r="V3" s="180"/>
      <c r="W3" s="335" t="s">
        <v>511</v>
      </c>
      <c r="X3" s="336"/>
      <c r="Y3" s="193" t="s">
        <v>512</v>
      </c>
      <c r="AA3" s="49" t="s">
        <v>531</v>
      </c>
      <c r="AB3" s="208" t="s">
        <v>528</v>
      </c>
      <c r="AC3" s="135" t="s">
        <v>530</v>
      </c>
    </row>
    <row r="4" spans="1:29" ht="14.25" customHeight="1" thickBot="1" x14ac:dyDescent="0.25">
      <c r="A4" s="2" t="s">
        <v>3</v>
      </c>
      <c r="B4" s="3" t="s">
        <v>4</v>
      </c>
      <c r="C4" s="22" t="s">
        <v>5</v>
      </c>
      <c r="D4" s="55">
        <v>40</v>
      </c>
      <c r="E4" s="56" t="s">
        <v>477</v>
      </c>
      <c r="G4" s="55">
        <v>40</v>
      </c>
      <c r="H4" s="56" t="s">
        <v>463</v>
      </c>
      <c r="J4" s="85" t="s">
        <v>463</v>
      </c>
      <c r="L4" s="150">
        <v>40</v>
      </c>
      <c r="M4" s="87" t="s">
        <v>463</v>
      </c>
      <c r="N4" s="142">
        <v>60</v>
      </c>
      <c r="O4" s="143" t="s">
        <v>463</v>
      </c>
      <c r="P4" s="144">
        <v>50</v>
      </c>
      <c r="Q4" s="145" t="s">
        <v>463</v>
      </c>
      <c r="R4" s="146" t="s">
        <v>463</v>
      </c>
      <c r="T4" s="55">
        <v>35</v>
      </c>
      <c r="U4" s="56" t="s">
        <v>463</v>
      </c>
      <c r="V4" s="181"/>
      <c r="W4" s="179">
        <v>40</v>
      </c>
      <c r="X4" s="192" t="s">
        <v>463</v>
      </c>
      <c r="Y4" s="195" t="s">
        <v>463</v>
      </c>
      <c r="AB4" s="47"/>
      <c r="AC4" s="165"/>
    </row>
    <row r="5" spans="1:29" ht="14.25" customHeight="1" thickBot="1" x14ac:dyDescent="0.25">
      <c r="A5" s="4">
        <v>1</v>
      </c>
      <c r="B5" s="5" t="s">
        <v>242</v>
      </c>
      <c r="C5" s="23" t="s">
        <v>243</v>
      </c>
      <c r="D5" s="78">
        <v>8.5</v>
      </c>
      <c r="E5" s="79">
        <f t="shared" ref="E5:E32" si="0">D5/40*100</f>
        <v>21.25</v>
      </c>
      <c r="G5" s="153">
        <v>22</v>
      </c>
      <c r="H5" s="60">
        <f t="shared" ref="H5:H35" si="1">G5/40</f>
        <v>0.55000000000000004</v>
      </c>
      <c r="J5" s="86">
        <f t="shared" ref="J5:J35" si="2">D5+G5/40*60</f>
        <v>41.5</v>
      </c>
      <c r="L5" s="151">
        <v>17</v>
      </c>
      <c r="M5" s="122">
        <f t="shared" ref="M5:M35" si="3">L5/40</f>
        <v>0.42499999999999999</v>
      </c>
      <c r="N5" s="65">
        <v>41</v>
      </c>
      <c r="O5" s="122">
        <f t="shared" ref="O5:O35" si="4">N5/60</f>
        <v>0.68333333333333335</v>
      </c>
      <c r="P5" s="129">
        <v>28</v>
      </c>
      <c r="Q5" s="125">
        <f t="shared" ref="Q5:Q35" si="5">P5/50</f>
        <v>0.56000000000000005</v>
      </c>
      <c r="R5" s="147">
        <f t="shared" ref="R5:R35" si="6">(L5/40*20)+(N5/60*40)+(P5/50*40)</f>
        <v>58.233333333333334</v>
      </c>
      <c r="T5" s="65">
        <v>23</v>
      </c>
      <c r="U5" s="122">
        <f>T5/35</f>
        <v>0.65714285714285714</v>
      </c>
      <c r="V5" s="182"/>
      <c r="W5" s="65">
        <v>26</v>
      </c>
      <c r="X5" s="168">
        <f>W5/40</f>
        <v>0.65</v>
      </c>
      <c r="Y5" s="189">
        <f>T5/35*40+W5/40*60</f>
        <v>65.285714285714278</v>
      </c>
      <c r="AA5" s="25">
        <v>28</v>
      </c>
      <c r="AB5" s="67">
        <v>31</v>
      </c>
      <c r="AC5" s="203">
        <f>(AA5+AB5/60*70)/100</f>
        <v>0.64166666666666672</v>
      </c>
    </row>
    <row r="6" spans="1:29" ht="14.25" customHeight="1" thickBot="1" x14ac:dyDescent="0.25">
      <c r="A6" s="4">
        <v>2</v>
      </c>
      <c r="B6" s="5" t="s">
        <v>244</v>
      </c>
      <c r="C6" s="23" t="s">
        <v>245</v>
      </c>
      <c r="D6" s="80">
        <v>34</v>
      </c>
      <c r="E6" s="81">
        <f t="shared" si="0"/>
        <v>85</v>
      </c>
      <c r="G6" s="46">
        <v>33</v>
      </c>
      <c r="H6" s="60">
        <f t="shared" si="1"/>
        <v>0.82499999999999996</v>
      </c>
      <c r="J6" s="86">
        <f t="shared" si="2"/>
        <v>83.5</v>
      </c>
      <c r="L6" s="64">
        <v>33</v>
      </c>
      <c r="M6" s="48">
        <f t="shared" si="3"/>
        <v>0.82499999999999996</v>
      </c>
      <c r="N6" s="46">
        <v>45</v>
      </c>
      <c r="O6" s="48">
        <f t="shared" si="4"/>
        <v>0.75</v>
      </c>
      <c r="P6" s="63">
        <v>28</v>
      </c>
      <c r="Q6" s="126">
        <f t="shared" si="5"/>
        <v>0.56000000000000005</v>
      </c>
      <c r="R6" s="148">
        <f t="shared" si="6"/>
        <v>68.900000000000006</v>
      </c>
      <c r="T6" s="46">
        <v>22</v>
      </c>
      <c r="U6" s="68">
        <f t="shared" ref="U6:U35" si="7">T6/35</f>
        <v>0.62857142857142856</v>
      </c>
      <c r="V6" s="182"/>
      <c r="W6" s="46">
        <v>24</v>
      </c>
      <c r="X6" s="169">
        <f t="shared" ref="X6:X35" si="8">W6/40</f>
        <v>0.6</v>
      </c>
      <c r="Y6" s="190">
        <f t="shared" ref="Y6:Y35" si="9">T6/35*40+W6/40*60</f>
        <v>61.142857142857139</v>
      </c>
      <c r="AA6" s="25">
        <v>15</v>
      </c>
      <c r="AB6" s="63">
        <v>48</v>
      </c>
      <c r="AC6" s="203">
        <f t="shared" ref="AC6:AC35" si="10">(AA6+AB6/60*70)/100</f>
        <v>0.71</v>
      </c>
    </row>
    <row r="7" spans="1:29" ht="14.25" customHeight="1" thickBot="1" x14ac:dyDescent="0.25">
      <c r="A7" s="4">
        <v>3</v>
      </c>
      <c r="B7" s="5" t="s">
        <v>246</v>
      </c>
      <c r="C7" s="23" t="s">
        <v>247</v>
      </c>
      <c r="D7" s="80">
        <v>25</v>
      </c>
      <c r="E7" s="81">
        <f t="shared" si="0"/>
        <v>62.5</v>
      </c>
      <c r="G7" s="46">
        <v>29</v>
      </c>
      <c r="H7" s="60">
        <f t="shared" si="1"/>
        <v>0.72499999999999998</v>
      </c>
      <c r="J7" s="86">
        <f t="shared" si="2"/>
        <v>68.5</v>
      </c>
      <c r="L7" s="64">
        <v>29</v>
      </c>
      <c r="M7" s="48">
        <f t="shared" si="3"/>
        <v>0.72499999999999998</v>
      </c>
      <c r="N7" s="46">
        <v>46</v>
      </c>
      <c r="O7" s="48">
        <f t="shared" si="4"/>
        <v>0.76666666666666672</v>
      </c>
      <c r="P7" s="63">
        <v>29</v>
      </c>
      <c r="Q7" s="126">
        <f t="shared" si="5"/>
        <v>0.57999999999999996</v>
      </c>
      <c r="R7" s="148">
        <f t="shared" si="6"/>
        <v>68.366666666666674</v>
      </c>
      <c r="T7" s="46">
        <v>27</v>
      </c>
      <c r="U7" s="68">
        <f t="shared" si="7"/>
        <v>0.77142857142857146</v>
      </c>
      <c r="V7" s="182"/>
      <c r="W7" s="46">
        <v>24</v>
      </c>
      <c r="X7" s="169">
        <f t="shared" si="8"/>
        <v>0.6</v>
      </c>
      <c r="Y7" s="190">
        <f t="shared" si="9"/>
        <v>66.857142857142861</v>
      </c>
      <c r="AA7" s="25">
        <v>21</v>
      </c>
      <c r="AB7" s="63">
        <v>44</v>
      </c>
      <c r="AC7" s="203">
        <f t="shared" si="10"/>
        <v>0.72333333333333327</v>
      </c>
    </row>
    <row r="8" spans="1:29" ht="14.25" customHeight="1" thickBot="1" x14ac:dyDescent="0.25">
      <c r="A8" s="4">
        <v>4</v>
      </c>
      <c r="B8" s="27" t="s">
        <v>484</v>
      </c>
      <c r="C8" s="28" t="s">
        <v>282</v>
      </c>
      <c r="D8" s="80">
        <v>30</v>
      </c>
      <c r="E8" s="81">
        <f t="shared" si="0"/>
        <v>75</v>
      </c>
      <c r="G8" s="46">
        <v>25</v>
      </c>
      <c r="H8" s="60">
        <f t="shared" si="1"/>
        <v>0.625</v>
      </c>
      <c r="J8" s="86">
        <f t="shared" si="2"/>
        <v>67.5</v>
      </c>
      <c r="L8" s="64">
        <v>34</v>
      </c>
      <c r="M8" s="48">
        <f t="shared" si="3"/>
        <v>0.85</v>
      </c>
      <c r="N8" s="46">
        <v>54</v>
      </c>
      <c r="O8" s="48">
        <f t="shared" si="4"/>
        <v>0.9</v>
      </c>
      <c r="P8" s="63">
        <v>27</v>
      </c>
      <c r="Q8" s="126">
        <f t="shared" si="5"/>
        <v>0.54</v>
      </c>
      <c r="R8" s="148">
        <f t="shared" si="6"/>
        <v>74.599999999999994</v>
      </c>
      <c r="T8" s="46">
        <v>27</v>
      </c>
      <c r="U8" s="61">
        <f t="shared" si="7"/>
        <v>0.77142857142857146</v>
      </c>
      <c r="V8" s="183"/>
      <c r="W8" s="46">
        <v>19</v>
      </c>
      <c r="X8" s="169">
        <f t="shared" si="8"/>
        <v>0.47499999999999998</v>
      </c>
      <c r="Y8" s="190">
        <f t="shared" si="9"/>
        <v>59.357142857142861</v>
      </c>
      <c r="AA8" s="25">
        <v>23</v>
      </c>
      <c r="AB8" s="63">
        <v>52</v>
      </c>
      <c r="AC8" s="203">
        <f t="shared" si="10"/>
        <v>0.83666666666666667</v>
      </c>
    </row>
    <row r="9" spans="1:29" ht="14.25" customHeight="1" thickBot="1" x14ac:dyDescent="0.25">
      <c r="A9" s="4">
        <v>5</v>
      </c>
      <c r="B9" s="5" t="s">
        <v>248</v>
      </c>
      <c r="C9" s="28" t="s">
        <v>487</v>
      </c>
      <c r="D9" s="80">
        <v>24</v>
      </c>
      <c r="E9" s="81">
        <f t="shared" si="0"/>
        <v>60</v>
      </c>
      <c r="F9" s="33" t="s">
        <v>502</v>
      </c>
      <c r="G9" s="52">
        <v>19</v>
      </c>
      <c r="H9" s="60">
        <f t="shared" si="1"/>
        <v>0.47499999999999998</v>
      </c>
      <c r="J9" s="86">
        <f t="shared" si="2"/>
        <v>52.5</v>
      </c>
      <c r="L9" s="64">
        <v>35</v>
      </c>
      <c r="M9" s="48">
        <f t="shared" si="3"/>
        <v>0.875</v>
      </c>
      <c r="N9" s="46">
        <v>44</v>
      </c>
      <c r="O9" s="48">
        <f t="shared" si="4"/>
        <v>0.73333333333333328</v>
      </c>
      <c r="P9" s="63">
        <v>42</v>
      </c>
      <c r="Q9" s="126">
        <f t="shared" si="5"/>
        <v>0.84</v>
      </c>
      <c r="R9" s="148">
        <f t="shared" si="6"/>
        <v>80.433333333333337</v>
      </c>
      <c r="T9" s="46">
        <v>25</v>
      </c>
      <c r="U9" s="61">
        <f t="shared" si="7"/>
        <v>0.7142857142857143</v>
      </c>
      <c r="V9" s="183"/>
      <c r="W9" s="46">
        <v>37</v>
      </c>
      <c r="X9" s="169">
        <f t="shared" si="8"/>
        <v>0.92500000000000004</v>
      </c>
      <c r="Y9" s="190">
        <f t="shared" si="9"/>
        <v>84.071428571428569</v>
      </c>
      <c r="AA9" s="25">
        <v>25</v>
      </c>
      <c r="AB9" s="63">
        <v>51</v>
      </c>
      <c r="AC9" s="203">
        <f t="shared" si="10"/>
        <v>0.84499999999999997</v>
      </c>
    </row>
    <row r="10" spans="1:29" ht="14.25" customHeight="1" thickBot="1" x14ac:dyDescent="0.25">
      <c r="A10" s="4">
        <v>6</v>
      </c>
      <c r="B10" s="5" t="s">
        <v>249</v>
      </c>
      <c r="C10" s="23" t="s">
        <v>250</v>
      </c>
      <c r="D10" s="80">
        <v>22.5</v>
      </c>
      <c r="E10" s="81">
        <f t="shared" si="0"/>
        <v>56.25</v>
      </c>
      <c r="G10" s="46">
        <v>23</v>
      </c>
      <c r="H10" s="60">
        <f t="shared" si="1"/>
        <v>0.57499999999999996</v>
      </c>
      <c r="J10" s="86">
        <f t="shared" si="2"/>
        <v>57</v>
      </c>
      <c r="L10" s="152">
        <v>33</v>
      </c>
      <c r="M10" s="48">
        <f t="shared" si="3"/>
        <v>0.82499999999999996</v>
      </c>
      <c r="N10" s="46">
        <v>48</v>
      </c>
      <c r="O10" s="48">
        <f t="shared" si="4"/>
        <v>0.8</v>
      </c>
      <c r="P10" s="63">
        <v>38</v>
      </c>
      <c r="Q10" s="126">
        <f t="shared" si="5"/>
        <v>0.76</v>
      </c>
      <c r="R10" s="148">
        <f t="shared" si="6"/>
        <v>78.900000000000006</v>
      </c>
      <c r="T10" s="46">
        <v>27</v>
      </c>
      <c r="U10" s="61">
        <f t="shared" si="7"/>
        <v>0.77142857142857146</v>
      </c>
      <c r="V10" s="183"/>
      <c r="W10" s="46">
        <v>26</v>
      </c>
      <c r="X10" s="169">
        <f t="shared" si="8"/>
        <v>0.65</v>
      </c>
      <c r="Y10" s="190">
        <f t="shared" si="9"/>
        <v>69.857142857142861</v>
      </c>
      <c r="AA10" s="25">
        <v>16</v>
      </c>
      <c r="AB10" s="63">
        <v>40</v>
      </c>
      <c r="AC10" s="203">
        <f t="shared" si="10"/>
        <v>0.62666666666666659</v>
      </c>
    </row>
    <row r="11" spans="1:29" ht="14.25" customHeight="1" thickBot="1" x14ac:dyDescent="0.25">
      <c r="A11" s="4">
        <v>7</v>
      </c>
      <c r="B11" s="27" t="s">
        <v>283</v>
      </c>
      <c r="C11" s="28" t="s">
        <v>284</v>
      </c>
      <c r="D11" s="80">
        <v>37</v>
      </c>
      <c r="E11" s="81">
        <f t="shared" si="0"/>
        <v>92.5</v>
      </c>
      <c r="G11" s="46">
        <v>16</v>
      </c>
      <c r="H11" s="60">
        <f t="shared" si="1"/>
        <v>0.4</v>
      </c>
      <c r="J11" s="86">
        <f t="shared" si="2"/>
        <v>61</v>
      </c>
      <c r="L11" s="64">
        <v>34</v>
      </c>
      <c r="M11" s="48">
        <f t="shared" si="3"/>
        <v>0.85</v>
      </c>
      <c r="N11" s="46">
        <v>46</v>
      </c>
      <c r="O11" s="48">
        <f t="shared" si="4"/>
        <v>0.76666666666666672</v>
      </c>
      <c r="P11" s="63">
        <v>25</v>
      </c>
      <c r="Q11" s="126">
        <f t="shared" si="5"/>
        <v>0.5</v>
      </c>
      <c r="R11" s="148">
        <f t="shared" si="6"/>
        <v>67.666666666666671</v>
      </c>
      <c r="T11" s="46">
        <v>28</v>
      </c>
      <c r="U11" s="61">
        <f t="shared" si="7"/>
        <v>0.8</v>
      </c>
      <c r="V11" s="182"/>
      <c r="W11" s="46">
        <v>30</v>
      </c>
      <c r="X11" s="169">
        <f t="shared" si="8"/>
        <v>0.75</v>
      </c>
      <c r="Y11" s="190">
        <f t="shared" si="9"/>
        <v>77</v>
      </c>
      <c r="AA11" s="25">
        <v>17</v>
      </c>
      <c r="AB11" s="63">
        <v>44</v>
      </c>
      <c r="AC11" s="203">
        <f t="shared" si="10"/>
        <v>0.68333333333333324</v>
      </c>
    </row>
    <row r="12" spans="1:29" ht="14.25" customHeight="1" thickBot="1" x14ac:dyDescent="0.25">
      <c r="A12" s="4">
        <v>8</v>
      </c>
      <c r="B12" s="5" t="s">
        <v>96</v>
      </c>
      <c r="C12" s="23" t="s">
        <v>251</v>
      </c>
      <c r="D12" s="80">
        <v>27</v>
      </c>
      <c r="E12" s="81">
        <f t="shared" si="0"/>
        <v>67.5</v>
      </c>
      <c r="G12" s="70">
        <v>26</v>
      </c>
      <c r="H12" s="60">
        <f t="shared" si="1"/>
        <v>0.65</v>
      </c>
      <c r="J12" s="86">
        <f t="shared" si="2"/>
        <v>66</v>
      </c>
      <c r="L12" s="64">
        <v>28</v>
      </c>
      <c r="M12" s="48">
        <f t="shared" si="3"/>
        <v>0.7</v>
      </c>
      <c r="N12" s="46">
        <v>27</v>
      </c>
      <c r="O12" s="48">
        <f t="shared" si="4"/>
        <v>0.45</v>
      </c>
      <c r="P12" s="63">
        <v>31</v>
      </c>
      <c r="Q12" s="126">
        <f t="shared" si="5"/>
        <v>0.62</v>
      </c>
      <c r="R12" s="148">
        <f t="shared" si="6"/>
        <v>56.8</v>
      </c>
      <c r="T12" s="46">
        <v>24</v>
      </c>
      <c r="U12" s="61">
        <f t="shared" si="7"/>
        <v>0.68571428571428572</v>
      </c>
      <c r="V12" s="183"/>
      <c r="W12" s="46">
        <v>16</v>
      </c>
      <c r="X12" s="169">
        <f t="shared" si="8"/>
        <v>0.4</v>
      </c>
      <c r="Y12" s="190">
        <f t="shared" si="9"/>
        <v>51.428571428571431</v>
      </c>
      <c r="AA12" s="25">
        <v>16</v>
      </c>
      <c r="AB12" s="63">
        <v>37</v>
      </c>
      <c r="AC12" s="203">
        <f t="shared" si="10"/>
        <v>0.59166666666666667</v>
      </c>
    </row>
    <row r="13" spans="1:29" ht="14.25" customHeight="1" thickBot="1" x14ac:dyDescent="0.25">
      <c r="A13" s="4">
        <v>9</v>
      </c>
      <c r="B13" s="27" t="s">
        <v>289</v>
      </c>
      <c r="C13" s="28" t="s">
        <v>505</v>
      </c>
      <c r="D13" s="80">
        <v>23.5</v>
      </c>
      <c r="E13" s="81">
        <f t="shared" si="0"/>
        <v>58.75</v>
      </c>
      <c r="G13" s="46">
        <v>17</v>
      </c>
      <c r="H13" s="60">
        <f t="shared" si="1"/>
        <v>0.42499999999999999</v>
      </c>
      <c r="J13" s="86">
        <f t="shared" si="2"/>
        <v>49</v>
      </c>
      <c r="L13" s="64">
        <v>26</v>
      </c>
      <c r="M13" s="48">
        <f t="shared" si="3"/>
        <v>0.65</v>
      </c>
      <c r="N13" s="46">
        <v>48</v>
      </c>
      <c r="O13" s="48">
        <f t="shared" si="4"/>
        <v>0.8</v>
      </c>
      <c r="P13" s="63">
        <v>27</v>
      </c>
      <c r="Q13" s="126">
        <f t="shared" si="5"/>
        <v>0.54</v>
      </c>
      <c r="R13" s="148">
        <f t="shared" si="6"/>
        <v>66.599999999999994</v>
      </c>
      <c r="T13" s="46">
        <v>21</v>
      </c>
      <c r="U13" s="61">
        <f t="shared" si="7"/>
        <v>0.6</v>
      </c>
      <c r="V13" s="182"/>
      <c r="W13" s="46">
        <v>21</v>
      </c>
      <c r="X13" s="169">
        <f t="shared" si="8"/>
        <v>0.52500000000000002</v>
      </c>
      <c r="Y13" s="190">
        <f t="shared" si="9"/>
        <v>55.5</v>
      </c>
      <c r="AA13" s="25">
        <v>24</v>
      </c>
      <c r="AB13" s="63">
        <v>35</v>
      </c>
      <c r="AC13" s="203">
        <f t="shared" si="10"/>
        <v>0.64833333333333343</v>
      </c>
    </row>
    <row r="14" spans="1:29" ht="15" customHeight="1" thickBot="1" x14ac:dyDescent="0.25">
      <c r="A14" s="4">
        <v>10</v>
      </c>
      <c r="B14" s="37" t="s">
        <v>252</v>
      </c>
      <c r="C14" s="36" t="s">
        <v>272</v>
      </c>
      <c r="D14" s="82">
        <v>26.5</v>
      </c>
      <c r="E14" s="81">
        <f t="shared" si="0"/>
        <v>66.25</v>
      </c>
      <c r="G14" s="46">
        <v>30</v>
      </c>
      <c r="H14" s="60">
        <f t="shared" si="1"/>
        <v>0.75</v>
      </c>
      <c r="J14" s="86">
        <f t="shared" si="2"/>
        <v>71.5</v>
      </c>
      <c r="L14" s="152">
        <v>35</v>
      </c>
      <c r="M14" s="48">
        <f t="shared" si="3"/>
        <v>0.875</v>
      </c>
      <c r="N14" s="46">
        <v>47</v>
      </c>
      <c r="O14" s="48">
        <f t="shared" si="4"/>
        <v>0.78333333333333333</v>
      </c>
      <c r="P14" s="63">
        <v>40</v>
      </c>
      <c r="Q14" s="126">
        <f t="shared" si="5"/>
        <v>0.8</v>
      </c>
      <c r="R14" s="148">
        <f t="shared" si="6"/>
        <v>80.833333333333329</v>
      </c>
      <c r="T14" s="46">
        <v>27</v>
      </c>
      <c r="U14" s="61">
        <f t="shared" si="7"/>
        <v>0.77142857142857146</v>
      </c>
      <c r="V14" s="183"/>
      <c r="W14" s="46">
        <v>34</v>
      </c>
      <c r="X14" s="169">
        <f t="shared" si="8"/>
        <v>0.85</v>
      </c>
      <c r="Y14" s="190">
        <f t="shared" si="9"/>
        <v>81.857142857142861</v>
      </c>
      <c r="AA14" s="25">
        <v>21</v>
      </c>
      <c r="AB14" s="63">
        <v>48</v>
      </c>
      <c r="AC14" s="203">
        <f t="shared" si="10"/>
        <v>0.77</v>
      </c>
    </row>
    <row r="15" spans="1:29" ht="14.25" customHeight="1" thickBot="1" x14ac:dyDescent="0.25">
      <c r="A15" s="4">
        <v>11</v>
      </c>
      <c r="B15" s="9" t="s">
        <v>253</v>
      </c>
      <c r="C15" s="24" t="s">
        <v>254</v>
      </c>
      <c r="D15" s="80">
        <v>17</v>
      </c>
      <c r="E15" s="81">
        <f t="shared" si="0"/>
        <v>42.5</v>
      </c>
      <c r="F15" s="32"/>
      <c r="G15" s="46">
        <v>31</v>
      </c>
      <c r="H15" s="60">
        <f t="shared" si="1"/>
        <v>0.77500000000000002</v>
      </c>
      <c r="J15" s="86">
        <f t="shared" si="2"/>
        <v>63.5</v>
      </c>
      <c r="L15" s="64">
        <v>28</v>
      </c>
      <c r="M15" s="48">
        <f t="shared" si="3"/>
        <v>0.7</v>
      </c>
      <c r="N15" s="46">
        <v>44</v>
      </c>
      <c r="O15" s="48">
        <f t="shared" si="4"/>
        <v>0.73333333333333328</v>
      </c>
      <c r="P15" s="63">
        <v>30</v>
      </c>
      <c r="Q15" s="126">
        <f t="shared" si="5"/>
        <v>0.6</v>
      </c>
      <c r="R15" s="148">
        <f t="shared" si="6"/>
        <v>67.333333333333329</v>
      </c>
      <c r="T15" s="46">
        <v>20</v>
      </c>
      <c r="U15" s="61">
        <f t="shared" si="7"/>
        <v>0.5714285714285714</v>
      </c>
      <c r="V15" s="182"/>
      <c r="W15" s="46">
        <v>31</v>
      </c>
      <c r="X15" s="169">
        <f t="shared" si="8"/>
        <v>0.77500000000000002</v>
      </c>
      <c r="Y15" s="190">
        <f t="shared" si="9"/>
        <v>69.357142857142861</v>
      </c>
      <c r="AA15" s="25">
        <v>24</v>
      </c>
      <c r="AB15" s="63">
        <v>32</v>
      </c>
      <c r="AC15" s="203">
        <f t="shared" si="10"/>
        <v>0.6133333333333334</v>
      </c>
    </row>
    <row r="16" spans="1:29" ht="14.25" customHeight="1" thickBot="1" x14ac:dyDescent="0.25">
      <c r="A16" s="4">
        <v>12</v>
      </c>
      <c r="B16" s="5" t="s">
        <v>255</v>
      </c>
      <c r="C16" s="23" t="s">
        <v>256</v>
      </c>
      <c r="D16" s="80">
        <v>35</v>
      </c>
      <c r="E16" s="81">
        <f t="shared" si="0"/>
        <v>87.5</v>
      </c>
      <c r="G16" s="46">
        <v>30</v>
      </c>
      <c r="H16" s="60">
        <f t="shared" si="1"/>
        <v>0.75</v>
      </c>
      <c r="J16" s="86">
        <f t="shared" si="2"/>
        <v>80</v>
      </c>
      <c r="L16" s="64">
        <v>35</v>
      </c>
      <c r="M16" s="48">
        <f t="shared" si="3"/>
        <v>0.875</v>
      </c>
      <c r="N16" s="46">
        <v>52</v>
      </c>
      <c r="O16" s="48">
        <f t="shared" si="4"/>
        <v>0.8666666666666667</v>
      </c>
      <c r="P16" s="63">
        <v>40</v>
      </c>
      <c r="Q16" s="126">
        <f t="shared" si="5"/>
        <v>0.8</v>
      </c>
      <c r="R16" s="148">
        <f t="shared" si="6"/>
        <v>84.166666666666671</v>
      </c>
      <c r="T16" s="46">
        <v>28</v>
      </c>
      <c r="U16" s="61">
        <f t="shared" si="7"/>
        <v>0.8</v>
      </c>
      <c r="V16" s="182"/>
      <c r="W16" s="46">
        <v>35</v>
      </c>
      <c r="X16" s="169">
        <f t="shared" si="8"/>
        <v>0.875</v>
      </c>
      <c r="Y16" s="190">
        <f t="shared" si="9"/>
        <v>84.5</v>
      </c>
      <c r="AA16" s="25">
        <v>21</v>
      </c>
      <c r="AB16" s="63">
        <v>52</v>
      </c>
      <c r="AC16" s="203">
        <f t="shared" si="10"/>
        <v>0.81666666666666676</v>
      </c>
    </row>
    <row r="17" spans="1:29" ht="14.25" customHeight="1" thickBot="1" x14ac:dyDescent="0.25">
      <c r="A17" s="4">
        <v>13</v>
      </c>
      <c r="B17" s="27" t="s">
        <v>257</v>
      </c>
      <c r="C17" s="28" t="s">
        <v>258</v>
      </c>
      <c r="D17" s="80">
        <v>36</v>
      </c>
      <c r="E17" s="81">
        <f t="shared" si="0"/>
        <v>90</v>
      </c>
      <c r="F17" s="34"/>
      <c r="G17" s="46">
        <v>32</v>
      </c>
      <c r="H17" s="60">
        <f t="shared" si="1"/>
        <v>0.8</v>
      </c>
      <c r="J17" s="86">
        <f t="shared" si="2"/>
        <v>84</v>
      </c>
      <c r="L17" s="64">
        <v>36</v>
      </c>
      <c r="M17" s="48">
        <f t="shared" si="3"/>
        <v>0.9</v>
      </c>
      <c r="N17" s="46">
        <v>52</v>
      </c>
      <c r="O17" s="48">
        <f t="shared" si="4"/>
        <v>0.8666666666666667</v>
      </c>
      <c r="P17" s="63">
        <v>46</v>
      </c>
      <c r="Q17" s="126">
        <f t="shared" si="5"/>
        <v>0.92</v>
      </c>
      <c r="R17" s="148">
        <f t="shared" si="6"/>
        <v>89.466666666666669</v>
      </c>
      <c r="T17" s="46">
        <v>30</v>
      </c>
      <c r="U17" s="61">
        <f t="shared" si="7"/>
        <v>0.8571428571428571</v>
      </c>
      <c r="V17" s="182"/>
      <c r="W17" s="46">
        <v>36</v>
      </c>
      <c r="X17" s="169">
        <f t="shared" si="8"/>
        <v>0.9</v>
      </c>
      <c r="Y17" s="190">
        <f t="shared" si="9"/>
        <v>88.285714285714278</v>
      </c>
      <c r="AA17" s="25">
        <v>23</v>
      </c>
      <c r="AB17" s="63">
        <v>52</v>
      </c>
      <c r="AC17" s="203">
        <f t="shared" si="10"/>
        <v>0.83666666666666667</v>
      </c>
    </row>
    <row r="18" spans="1:29" ht="14.25" customHeight="1" thickBot="1" x14ac:dyDescent="0.25">
      <c r="A18" s="4">
        <v>14</v>
      </c>
      <c r="B18" s="27" t="s">
        <v>257</v>
      </c>
      <c r="C18" s="28" t="s">
        <v>316</v>
      </c>
      <c r="D18" s="80">
        <v>25.5</v>
      </c>
      <c r="E18" s="81">
        <f t="shared" si="0"/>
        <v>63.749999999999993</v>
      </c>
      <c r="F18" s="32"/>
      <c r="G18" s="46">
        <v>23</v>
      </c>
      <c r="H18" s="60">
        <f t="shared" si="1"/>
        <v>0.57499999999999996</v>
      </c>
      <c r="J18" s="86">
        <f t="shared" si="2"/>
        <v>60</v>
      </c>
      <c r="L18" s="64">
        <v>33</v>
      </c>
      <c r="M18" s="48">
        <f t="shared" si="3"/>
        <v>0.82499999999999996</v>
      </c>
      <c r="N18" s="46">
        <v>43</v>
      </c>
      <c r="O18" s="48">
        <f t="shared" si="4"/>
        <v>0.71666666666666667</v>
      </c>
      <c r="P18" s="63">
        <v>35</v>
      </c>
      <c r="Q18" s="126">
        <f t="shared" si="5"/>
        <v>0.7</v>
      </c>
      <c r="R18" s="148">
        <f t="shared" si="6"/>
        <v>73.166666666666671</v>
      </c>
      <c r="T18" s="46">
        <v>23</v>
      </c>
      <c r="U18" s="61">
        <f t="shared" si="7"/>
        <v>0.65714285714285714</v>
      </c>
      <c r="V18" s="183"/>
      <c r="W18" s="46">
        <v>25</v>
      </c>
      <c r="X18" s="169">
        <f t="shared" si="8"/>
        <v>0.625</v>
      </c>
      <c r="Y18" s="190">
        <f t="shared" si="9"/>
        <v>63.785714285714285</v>
      </c>
      <c r="AA18" s="25">
        <v>22</v>
      </c>
      <c r="AB18" s="63">
        <v>50</v>
      </c>
      <c r="AC18" s="203">
        <f t="shared" si="10"/>
        <v>0.80333333333333345</v>
      </c>
    </row>
    <row r="19" spans="1:29" ht="14.25" customHeight="1" thickBot="1" x14ac:dyDescent="0.25">
      <c r="A19" s="4">
        <v>15</v>
      </c>
      <c r="B19" s="5" t="s">
        <v>259</v>
      </c>
      <c r="C19" s="23" t="s">
        <v>260</v>
      </c>
      <c r="D19" s="80">
        <v>33</v>
      </c>
      <c r="E19" s="81">
        <f t="shared" si="0"/>
        <v>82.5</v>
      </c>
      <c r="G19" s="46">
        <v>32</v>
      </c>
      <c r="H19" s="60">
        <f t="shared" si="1"/>
        <v>0.8</v>
      </c>
      <c r="J19" s="86">
        <f t="shared" si="2"/>
        <v>81</v>
      </c>
      <c r="L19" s="64">
        <v>30</v>
      </c>
      <c r="M19" s="48">
        <f t="shared" si="3"/>
        <v>0.75</v>
      </c>
      <c r="N19" s="46">
        <v>53</v>
      </c>
      <c r="O19" s="48">
        <f t="shared" si="4"/>
        <v>0.8833333333333333</v>
      </c>
      <c r="P19" s="63">
        <v>36</v>
      </c>
      <c r="Q19" s="126">
        <f t="shared" si="5"/>
        <v>0.72</v>
      </c>
      <c r="R19" s="148">
        <f t="shared" si="6"/>
        <v>79.133333333333326</v>
      </c>
      <c r="T19" s="46">
        <v>26</v>
      </c>
      <c r="U19" s="61">
        <f t="shared" si="7"/>
        <v>0.74285714285714288</v>
      </c>
      <c r="V19" s="183"/>
      <c r="W19" s="46">
        <v>34</v>
      </c>
      <c r="X19" s="169">
        <f t="shared" si="8"/>
        <v>0.85</v>
      </c>
      <c r="Y19" s="190">
        <f t="shared" si="9"/>
        <v>80.714285714285722</v>
      </c>
      <c r="AA19" s="25">
        <v>21</v>
      </c>
      <c r="AB19" s="210" t="s">
        <v>532</v>
      </c>
      <c r="AC19" s="212">
        <f>(25%*J19+50%*R19+25%*Y19)/100</f>
        <v>0.79995238095238097</v>
      </c>
    </row>
    <row r="20" spans="1:29" ht="14.25" customHeight="1" thickBot="1" x14ac:dyDescent="0.25">
      <c r="A20" s="4">
        <v>16</v>
      </c>
      <c r="B20" s="5" t="s">
        <v>261</v>
      </c>
      <c r="C20" s="23" t="s">
        <v>262</v>
      </c>
      <c r="D20" s="80">
        <v>28</v>
      </c>
      <c r="E20" s="81">
        <f t="shared" si="0"/>
        <v>70</v>
      </c>
      <c r="G20" s="46">
        <v>35</v>
      </c>
      <c r="H20" s="60">
        <f t="shared" si="1"/>
        <v>0.875</v>
      </c>
      <c r="J20" s="86">
        <f t="shared" si="2"/>
        <v>80.5</v>
      </c>
      <c r="L20" s="64">
        <v>35</v>
      </c>
      <c r="M20" s="48">
        <f t="shared" si="3"/>
        <v>0.875</v>
      </c>
      <c r="N20" s="46">
        <v>47</v>
      </c>
      <c r="O20" s="48">
        <f t="shared" si="4"/>
        <v>0.78333333333333333</v>
      </c>
      <c r="P20" s="63">
        <v>40</v>
      </c>
      <c r="Q20" s="126">
        <f t="shared" si="5"/>
        <v>0.8</v>
      </c>
      <c r="R20" s="148">
        <f t="shared" si="6"/>
        <v>80.833333333333329</v>
      </c>
      <c r="T20" s="46">
        <v>24</v>
      </c>
      <c r="U20" s="61">
        <f t="shared" si="7"/>
        <v>0.68571428571428572</v>
      </c>
      <c r="V20" s="183"/>
      <c r="W20" s="46">
        <v>36</v>
      </c>
      <c r="X20" s="169">
        <f t="shared" si="8"/>
        <v>0.9</v>
      </c>
      <c r="Y20" s="190">
        <f t="shared" si="9"/>
        <v>81.428571428571431</v>
      </c>
      <c r="AA20" s="25">
        <v>20</v>
      </c>
      <c r="AB20" s="63">
        <v>45</v>
      </c>
      <c r="AC20" s="203">
        <f t="shared" si="10"/>
        <v>0.72499999999999998</v>
      </c>
    </row>
    <row r="21" spans="1:29" ht="14.25" customHeight="1" thickBot="1" x14ac:dyDescent="0.25">
      <c r="A21" s="4">
        <v>17</v>
      </c>
      <c r="B21" s="5" t="s">
        <v>263</v>
      </c>
      <c r="C21" s="23" t="s">
        <v>264</v>
      </c>
      <c r="D21" s="80">
        <v>27</v>
      </c>
      <c r="E21" s="81">
        <f t="shared" si="0"/>
        <v>67.5</v>
      </c>
      <c r="G21" s="46">
        <v>31</v>
      </c>
      <c r="H21" s="60">
        <f t="shared" si="1"/>
        <v>0.77500000000000002</v>
      </c>
      <c r="J21" s="86">
        <f t="shared" si="2"/>
        <v>73.5</v>
      </c>
      <c r="L21" s="64">
        <v>31</v>
      </c>
      <c r="M21" s="48">
        <f t="shared" si="3"/>
        <v>0.77500000000000002</v>
      </c>
      <c r="N21" s="46">
        <v>50</v>
      </c>
      <c r="O21" s="48">
        <f t="shared" si="4"/>
        <v>0.83333333333333337</v>
      </c>
      <c r="P21" s="63">
        <v>37</v>
      </c>
      <c r="Q21" s="126">
        <f t="shared" si="5"/>
        <v>0.74</v>
      </c>
      <c r="R21" s="148">
        <f t="shared" si="6"/>
        <v>78.433333333333337</v>
      </c>
      <c r="T21" s="46">
        <v>26</v>
      </c>
      <c r="U21" s="61">
        <f t="shared" si="7"/>
        <v>0.74285714285714288</v>
      </c>
      <c r="V21" s="183"/>
      <c r="W21" s="46">
        <v>34</v>
      </c>
      <c r="X21" s="169">
        <f t="shared" si="8"/>
        <v>0.85</v>
      </c>
      <c r="Y21" s="190">
        <f t="shared" si="9"/>
        <v>80.714285714285722</v>
      </c>
      <c r="AA21" s="25">
        <v>24</v>
      </c>
      <c r="AB21" s="63">
        <v>45</v>
      </c>
      <c r="AC21" s="203">
        <f t="shared" si="10"/>
        <v>0.76500000000000001</v>
      </c>
    </row>
    <row r="22" spans="1:29" ht="14.25" customHeight="1" thickBot="1" x14ac:dyDescent="0.25">
      <c r="A22" s="4">
        <v>18</v>
      </c>
      <c r="B22" s="5" t="s">
        <v>265</v>
      </c>
      <c r="C22" s="28" t="s">
        <v>254</v>
      </c>
      <c r="D22" s="80">
        <v>28</v>
      </c>
      <c r="E22" s="81">
        <f t="shared" si="0"/>
        <v>70</v>
      </c>
      <c r="G22" s="46">
        <v>27</v>
      </c>
      <c r="H22" s="60">
        <f t="shared" si="1"/>
        <v>0.67500000000000004</v>
      </c>
      <c r="J22" s="86">
        <f t="shared" si="2"/>
        <v>68.5</v>
      </c>
      <c r="L22" s="64">
        <v>32</v>
      </c>
      <c r="M22" s="48">
        <f t="shared" si="3"/>
        <v>0.8</v>
      </c>
      <c r="N22" s="46">
        <v>47</v>
      </c>
      <c r="O22" s="48">
        <f t="shared" si="4"/>
        <v>0.78333333333333333</v>
      </c>
      <c r="P22" s="63">
        <v>31</v>
      </c>
      <c r="Q22" s="126">
        <f t="shared" si="5"/>
        <v>0.62</v>
      </c>
      <c r="R22" s="148">
        <f t="shared" si="6"/>
        <v>72.133333333333326</v>
      </c>
      <c r="T22" s="46">
        <v>26</v>
      </c>
      <c r="U22" s="61">
        <f t="shared" si="7"/>
        <v>0.74285714285714288</v>
      </c>
      <c r="V22" s="182"/>
      <c r="W22" s="46">
        <v>22</v>
      </c>
      <c r="X22" s="169">
        <f t="shared" si="8"/>
        <v>0.55000000000000004</v>
      </c>
      <c r="Y22" s="190">
        <f t="shared" si="9"/>
        <v>62.714285714285715</v>
      </c>
      <c r="AA22" s="25">
        <v>21</v>
      </c>
      <c r="AB22" s="63">
        <v>45</v>
      </c>
      <c r="AC22" s="203">
        <f t="shared" si="10"/>
        <v>0.73499999999999999</v>
      </c>
    </row>
    <row r="23" spans="1:29" ht="14.25" customHeight="1" thickBot="1" x14ac:dyDescent="0.25">
      <c r="A23" s="4">
        <v>19</v>
      </c>
      <c r="B23" s="5" t="s">
        <v>266</v>
      </c>
      <c r="C23" s="23" t="s">
        <v>267</v>
      </c>
      <c r="D23" s="80">
        <v>34</v>
      </c>
      <c r="E23" s="81">
        <f t="shared" si="0"/>
        <v>85</v>
      </c>
      <c r="G23" s="46">
        <v>24</v>
      </c>
      <c r="H23" s="60">
        <f t="shared" si="1"/>
        <v>0.6</v>
      </c>
      <c r="J23" s="86">
        <f t="shared" si="2"/>
        <v>70</v>
      </c>
      <c r="L23" s="64">
        <v>33</v>
      </c>
      <c r="M23" s="48">
        <f t="shared" si="3"/>
        <v>0.82499999999999996</v>
      </c>
      <c r="N23" s="46">
        <v>49</v>
      </c>
      <c r="O23" s="48">
        <f t="shared" si="4"/>
        <v>0.81666666666666665</v>
      </c>
      <c r="P23" s="63">
        <v>29</v>
      </c>
      <c r="Q23" s="126">
        <f t="shared" si="5"/>
        <v>0.57999999999999996</v>
      </c>
      <c r="R23" s="148">
        <f t="shared" si="6"/>
        <v>72.36666666666666</v>
      </c>
      <c r="T23" s="46">
        <v>23</v>
      </c>
      <c r="U23" s="61">
        <f t="shared" si="7"/>
        <v>0.65714285714285714</v>
      </c>
      <c r="V23" s="182"/>
      <c r="W23" s="46">
        <v>35</v>
      </c>
      <c r="X23" s="169">
        <f t="shared" si="8"/>
        <v>0.875</v>
      </c>
      <c r="Y23" s="190">
        <f t="shared" si="9"/>
        <v>78.785714285714278</v>
      </c>
      <c r="AA23" s="25">
        <v>21</v>
      </c>
      <c r="AB23" s="63">
        <v>48</v>
      </c>
      <c r="AC23" s="203">
        <f t="shared" si="10"/>
        <v>0.77</v>
      </c>
    </row>
    <row r="24" spans="1:29" ht="14.25" customHeight="1" thickBot="1" x14ac:dyDescent="0.25">
      <c r="A24" s="4">
        <v>20</v>
      </c>
      <c r="B24" s="27" t="s">
        <v>479</v>
      </c>
      <c r="C24" s="28" t="s">
        <v>480</v>
      </c>
      <c r="D24" s="80">
        <v>32</v>
      </c>
      <c r="E24" s="81">
        <f t="shared" si="0"/>
        <v>80</v>
      </c>
      <c r="F24" s="32"/>
      <c r="G24" s="46">
        <v>20</v>
      </c>
      <c r="H24" s="60">
        <f t="shared" si="1"/>
        <v>0.5</v>
      </c>
      <c r="J24" s="86">
        <f t="shared" si="2"/>
        <v>62</v>
      </c>
      <c r="L24" s="64">
        <v>33</v>
      </c>
      <c r="M24" s="48">
        <f t="shared" si="3"/>
        <v>0.82499999999999996</v>
      </c>
      <c r="N24" s="46">
        <v>44</v>
      </c>
      <c r="O24" s="48">
        <f t="shared" si="4"/>
        <v>0.73333333333333328</v>
      </c>
      <c r="P24" s="63">
        <v>37</v>
      </c>
      <c r="Q24" s="126">
        <f t="shared" si="5"/>
        <v>0.74</v>
      </c>
      <c r="R24" s="148">
        <f t="shared" si="6"/>
        <v>75.433333333333337</v>
      </c>
      <c r="T24" s="46">
        <v>20</v>
      </c>
      <c r="U24" s="61">
        <f t="shared" si="7"/>
        <v>0.5714285714285714</v>
      </c>
      <c r="V24" s="183"/>
      <c r="W24" s="46">
        <v>29</v>
      </c>
      <c r="X24" s="169">
        <f t="shared" si="8"/>
        <v>0.72499999999999998</v>
      </c>
      <c r="Y24" s="190">
        <f t="shared" si="9"/>
        <v>66.357142857142861</v>
      </c>
      <c r="AA24" s="25">
        <v>16</v>
      </c>
      <c r="AB24" s="63">
        <v>41</v>
      </c>
      <c r="AC24" s="203">
        <f t="shared" si="10"/>
        <v>0.63833333333333331</v>
      </c>
    </row>
    <row r="25" spans="1:29" ht="14.25" customHeight="1" thickBot="1" x14ac:dyDescent="0.25">
      <c r="A25" s="4">
        <v>21</v>
      </c>
      <c r="B25" s="27" t="s">
        <v>485</v>
      </c>
      <c r="C25" s="28" t="s">
        <v>486</v>
      </c>
      <c r="D25" s="80">
        <v>17</v>
      </c>
      <c r="E25" s="81">
        <f t="shared" si="0"/>
        <v>42.5</v>
      </c>
      <c r="G25" s="46">
        <v>24</v>
      </c>
      <c r="H25" s="60">
        <f t="shared" si="1"/>
        <v>0.6</v>
      </c>
      <c r="J25" s="86">
        <f t="shared" si="2"/>
        <v>53</v>
      </c>
      <c r="L25" s="64">
        <v>22</v>
      </c>
      <c r="M25" s="48">
        <f t="shared" si="3"/>
        <v>0.55000000000000004</v>
      </c>
      <c r="N25" s="46">
        <v>39</v>
      </c>
      <c r="O25" s="48">
        <f t="shared" si="4"/>
        <v>0.65</v>
      </c>
      <c r="P25" s="63">
        <v>28</v>
      </c>
      <c r="Q25" s="126">
        <f t="shared" si="5"/>
        <v>0.56000000000000005</v>
      </c>
      <c r="R25" s="148">
        <f t="shared" si="6"/>
        <v>59.400000000000006</v>
      </c>
      <c r="T25" s="46">
        <v>25</v>
      </c>
      <c r="U25" s="61">
        <f t="shared" si="7"/>
        <v>0.7142857142857143</v>
      </c>
      <c r="V25" s="182"/>
      <c r="W25" s="46">
        <v>18</v>
      </c>
      <c r="X25" s="169">
        <f t="shared" si="8"/>
        <v>0.45</v>
      </c>
      <c r="Y25" s="190">
        <f t="shared" si="9"/>
        <v>55.571428571428569</v>
      </c>
      <c r="AA25" s="25">
        <v>19</v>
      </c>
      <c r="AB25" s="63">
        <v>41</v>
      </c>
      <c r="AC25" s="203">
        <f t="shared" si="10"/>
        <v>0.66833333333333345</v>
      </c>
    </row>
    <row r="26" spans="1:29" ht="14.25" customHeight="1" thickBot="1" x14ac:dyDescent="0.25">
      <c r="A26" s="4">
        <v>22</v>
      </c>
      <c r="B26" s="5" t="s">
        <v>268</v>
      </c>
      <c r="C26" s="23" t="s">
        <v>269</v>
      </c>
      <c r="D26" s="80">
        <v>37</v>
      </c>
      <c r="E26" s="81">
        <f t="shared" si="0"/>
        <v>92.5</v>
      </c>
      <c r="G26" s="46">
        <v>31</v>
      </c>
      <c r="H26" s="60">
        <f t="shared" si="1"/>
        <v>0.77500000000000002</v>
      </c>
      <c r="J26" s="86">
        <f t="shared" si="2"/>
        <v>83.5</v>
      </c>
      <c r="L26" s="152">
        <v>34</v>
      </c>
      <c r="M26" s="48">
        <f t="shared" si="3"/>
        <v>0.85</v>
      </c>
      <c r="N26" s="46">
        <v>50</v>
      </c>
      <c r="O26" s="48">
        <f t="shared" si="4"/>
        <v>0.83333333333333337</v>
      </c>
      <c r="P26" s="63">
        <v>45</v>
      </c>
      <c r="Q26" s="126">
        <f t="shared" si="5"/>
        <v>0.9</v>
      </c>
      <c r="R26" s="148">
        <f t="shared" si="6"/>
        <v>86.333333333333343</v>
      </c>
      <c r="T26" s="46">
        <v>24</v>
      </c>
      <c r="U26" s="61">
        <f t="shared" si="7"/>
        <v>0.68571428571428572</v>
      </c>
      <c r="V26" s="182"/>
      <c r="W26" s="46">
        <v>37</v>
      </c>
      <c r="X26" s="169">
        <f t="shared" si="8"/>
        <v>0.92500000000000004</v>
      </c>
      <c r="Y26" s="190">
        <f t="shared" si="9"/>
        <v>82.928571428571431</v>
      </c>
      <c r="AA26" s="25">
        <v>25</v>
      </c>
      <c r="AB26" s="63">
        <v>54</v>
      </c>
      <c r="AC26" s="203">
        <f t="shared" si="10"/>
        <v>0.88</v>
      </c>
    </row>
    <row r="27" spans="1:29" ht="14.25" customHeight="1" thickBot="1" x14ac:dyDescent="0.25">
      <c r="A27" s="4">
        <v>23</v>
      </c>
      <c r="B27" s="27" t="s">
        <v>305</v>
      </c>
      <c r="C27" s="28" t="s">
        <v>306</v>
      </c>
      <c r="D27" s="80">
        <v>35.5</v>
      </c>
      <c r="E27" s="81">
        <f t="shared" si="0"/>
        <v>88.75</v>
      </c>
      <c r="F27" s="35"/>
      <c r="G27" s="52">
        <v>37</v>
      </c>
      <c r="H27" s="60">
        <f t="shared" si="1"/>
        <v>0.92500000000000004</v>
      </c>
      <c r="J27" s="86">
        <f t="shared" si="2"/>
        <v>91</v>
      </c>
      <c r="L27" s="64">
        <v>37</v>
      </c>
      <c r="M27" s="48">
        <f t="shared" si="3"/>
        <v>0.92500000000000004</v>
      </c>
      <c r="N27" s="46">
        <v>53</v>
      </c>
      <c r="O27" s="48">
        <f t="shared" si="4"/>
        <v>0.8833333333333333</v>
      </c>
      <c r="P27" s="63">
        <v>47</v>
      </c>
      <c r="Q27" s="126">
        <f t="shared" si="5"/>
        <v>0.94</v>
      </c>
      <c r="R27" s="148">
        <f t="shared" si="6"/>
        <v>91.433333333333323</v>
      </c>
      <c r="T27" s="46">
        <v>29</v>
      </c>
      <c r="U27" s="61">
        <f t="shared" si="7"/>
        <v>0.82857142857142863</v>
      </c>
      <c r="V27" s="183"/>
      <c r="W27" s="46">
        <v>37</v>
      </c>
      <c r="X27" s="169">
        <f t="shared" si="8"/>
        <v>0.92500000000000004</v>
      </c>
      <c r="Y27" s="190">
        <f t="shared" si="9"/>
        <v>88.642857142857139</v>
      </c>
      <c r="AA27" s="25">
        <v>29</v>
      </c>
      <c r="AB27" s="63">
        <v>56</v>
      </c>
      <c r="AC27" s="203">
        <f t="shared" si="10"/>
        <v>0.94333333333333325</v>
      </c>
    </row>
    <row r="28" spans="1:29" ht="14.25" customHeight="1" thickBot="1" x14ac:dyDescent="0.25">
      <c r="A28" s="4">
        <v>24</v>
      </c>
      <c r="B28" s="27" t="s">
        <v>270</v>
      </c>
      <c r="C28" s="28" t="s">
        <v>271</v>
      </c>
      <c r="D28" s="80">
        <v>31</v>
      </c>
      <c r="E28" s="81">
        <f t="shared" si="0"/>
        <v>77.5</v>
      </c>
      <c r="G28" s="46">
        <v>35</v>
      </c>
      <c r="H28" s="60">
        <f t="shared" si="1"/>
        <v>0.875</v>
      </c>
      <c r="J28" s="86">
        <f t="shared" si="2"/>
        <v>83.5</v>
      </c>
      <c r="L28" s="64">
        <v>32</v>
      </c>
      <c r="M28" s="48">
        <f t="shared" si="3"/>
        <v>0.8</v>
      </c>
      <c r="N28" s="46">
        <v>53</v>
      </c>
      <c r="O28" s="48">
        <f t="shared" si="4"/>
        <v>0.8833333333333333</v>
      </c>
      <c r="P28" s="63">
        <v>45</v>
      </c>
      <c r="Q28" s="126">
        <f t="shared" si="5"/>
        <v>0.9</v>
      </c>
      <c r="R28" s="148">
        <f t="shared" si="6"/>
        <v>87.333333333333329</v>
      </c>
      <c r="T28" s="46">
        <v>26</v>
      </c>
      <c r="U28" s="61">
        <f t="shared" si="7"/>
        <v>0.74285714285714288</v>
      </c>
      <c r="V28" s="183"/>
      <c r="W28" s="46">
        <v>34</v>
      </c>
      <c r="X28" s="169">
        <f t="shared" si="8"/>
        <v>0.85</v>
      </c>
      <c r="Y28" s="190">
        <f t="shared" si="9"/>
        <v>80.714285714285722</v>
      </c>
      <c r="AA28" s="25">
        <v>24</v>
      </c>
      <c r="AB28" s="63">
        <v>48</v>
      </c>
      <c r="AC28" s="203">
        <f t="shared" si="10"/>
        <v>0.8</v>
      </c>
    </row>
    <row r="29" spans="1:29" ht="14.25" customHeight="1" thickBot="1" x14ac:dyDescent="0.25">
      <c r="A29" s="4">
        <v>25</v>
      </c>
      <c r="B29" s="5" t="s">
        <v>126</v>
      </c>
      <c r="C29" s="23" t="s">
        <v>273</v>
      </c>
      <c r="D29" s="80">
        <v>31</v>
      </c>
      <c r="E29" s="81">
        <f t="shared" si="0"/>
        <v>77.5</v>
      </c>
      <c r="G29" s="46">
        <v>32</v>
      </c>
      <c r="H29" s="60">
        <f t="shared" si="1"/>
        <v>0.8</v>
      </c>
      <c r="J29" s="86">
        <f t="shared" si="2"/>
        <v>79</v>
      </c>
      <c r="L29" s="64">
        <v>39</v>
      </c>
      <c r="M29" s="48">
        <f t="shared" si="3"/>
        <v>0.97499999999999998</v>
      </c>
      <c r="N29" s="46">
        <v>53</v>
      </c>
      <c r="O29" s="48">
        <f t="shared" si="4"/>
        <v>0.8833333333333333</v>
      </c>
      <c r="P29" s="63">
        <v>41</v>
      </c>
      <c r="Q29" s="126">
        <f t="shared" si="5"/>
        <v>0.82</v>
      </c>
      <c r="R29" s="148">
        <f t="shared" si="6"/>
        <v>87.633333333333326</v>
      </c>
      <c r="T29" s="46">
        <v>23</v>
      </c>
      <c r="U29" s="61">
        <f t="shared" si="7"/>
        <v>0.65714285714285714</v>
      </c>
      <c r="V29" s="183"/>
      <c r="W29" s="46">
        <v>33</v>
      </c>
      <c r="X29" s="169">
        <f t="shared" si="8"/>
        <v>0.82499999999999996</v>
      </c>
      <c r="Y29" s="190">
        <f t="shared" si="9"/>
        <v>75.785714285714278</v>
      </c>
      <c r="AA29" s="25">
        <v>28</v>
      </c>
      <c r="AB29" s="63">
        <v>45</v>
      </c>
      <c r="AC29" s="203">
        <f t="shared" si="10"/>
        <v>0.80500000000000005</v>
      </c>
    </row>
    <row r="30" spans="1:29" ht="14.25" customHeight="1" thickBot="1" x14ac:dyDescent="0.25">
      <c r="A30" s="4">
        <v>26</v>
      </c>
      <c r="B30" s="5" t="s">
        <v>126</v>
      </c>
      <c r="C30" s="23" t="s">
        <v>457</v>
      </c>
      <c r="D30" s="80">
        <v>18.5</v>
      </c>
      <c r="E30" s="81">
        <f t="shared" si="0"/>
        <v>46.25</v>
      </c>
      <c r="G30" s="46">
        <v>25</v>
      </c>
      <c r="H30" s="60">
        <f t="shared" si="1"/>
        <v>0.625</v>
      </c>
      <c r="J30" s="86">
        <f t="shared" si="2"/>
        <v>56</v>
      </c>
      <c r="L30" s="152">
        <v>7</v>
      </c>
      <c r="M30" s="48">
        <f t="shared" si="3"/>
        <v>0.17499999999999999</v>
      </c>
      <c r="N30" s="46">
        <v>25</v>
      </c>
      <c r="O30" s="48">
        <f t="shared" si="4"/>
        <v>0.41666666666666669</v>
      </c>
      <c r="P30" s="63">
        <v>15</v>
      </c>
      <c r="Q30" s="126">
        <f t="shared" si="5"/>
        <v>0.3</v>
      </c>
      <c r="R30" s="148">
        <f t="shared" si="6"/>
        <v>32.166666666666671</v>
      </c>
      <c r="T30" s="46">
        <v>20</v>
      </c>
      <c r="U30" s="61">
        <f t="shared" si="7"/>
        <v>0.5714285714285714</v>
      </c>
      <c r="V30" s="183"/>
      <c r="W30" s="46">
        <v>21</v>
      </c>
      <c r="X30" s="169">
        <f t="shared" si="8"/>
        <v>0.52500000000000002</v>
      </c>
      <c r="Y30" s="190">
        <f t="shared" si="9"/>
        <v>54.357142857142854</v>
      </c>
      <c r="AA30" s="25">
        <v>19</v>
      </c>
      <c r="AB30" s="63">
        <v>22</v>
      </c>
      <c r="AC30" s="203">
        <f t="shared" si="10"/>
        <v>0.44666666666666666</v>
      </c>
    </row>
    <row r="31" spans="1:29" ht="14.25" customHeight="1" thickBot="1" x14ac:dyDescent="0.25">
      <c r="A31" s="4">
        <v>27</v>
      </c>
      <c r="B31" s="5" t="s">
        <v>274</v>
      </c>
      <c r="C31" s="28" t="s">
        <v>483</v>
      </c>
      <c r="D31" s="80">
        <v>23</v>
      </c>
      <c r="E31" s="81">
        <f t="shared" si="0"/>
        <v>57.499999999999993</v>
      </c>
      <c r="G31" s="46">
        <v>27</v>
      </c>
      <c r="H31" s="60">
        <f t="shared" si="1"/>
        <v>0.67500000000000004</v>
      </c>
      <c r="J31" s="86">
        <f t="shared" si="2"/>
        <v>63.5</v>
      </c>
      <c r="L31" s="64">
        <v>29</v>
      </c>
      <c r="M31" s="48">
        <f t="shared" si="3"/>
        <v>0.72499999999999998</v>
      </c>
      <c r="N31" s="46">
        <v>48</v>
      </c>
      <c r="O31" s="48">
        <f t="shared" si="4"/>
        <v>0.8</v>
      </c>
      <c r="P31" s="63">
        <v>39</v>
      </c>
      <c r="Q31" s="126">
        <f t="shared" si="5"/>
        <v>0.78</v>
      </c>
      <c r="R31" s="148">
        <f t="shared" si="6"/>
        <v>77.7</v>
      </c>
      <c r="T31" s="46">
        <v>22</v>
      </c>
      <c r="U31" s="61">
        <f t="shared" si="7"/>
        <v>0.62857142857142856</v>
      </c>
      <c r="V31" s="183"/>
      <c r="W31" s="46">
        <v>35</v>
      </c>
      <c r="X31" s="169">
        <f t="shared" si="8"/>
        <v>0.875</v>
      </c>
      <c r="Y31" s="190">
        <f t="shared" si="9"/>
        <v>77.642857142857139</v>
      </c>
      <c r="AA31" s="25">
        <v>26</v>
      </c>
      <c r="AB31" s="63">
        <v>48</v>
      </c>
      <c r="AC31" s="203">
        <f t="shared" si="10"/>
        <v>0.82</v>
      </c>
    </row>
    <row r="32" spans="1:29" ht="14.25" customHeight="1" thickBot="1" x14ac:dyDescent="0.25">
      <c r="A32" s="4">
        <v>28</v>
      </c>
      <c r="B32" s="5" t="s">
        <v>275</v>
      </c>
      <c r="C32" s="23" t="s">
        <v>276</v>
      </c>
      <c r="D32" s="80">
        <v>28</v>
      </c>
      <c r="E32" s="81">
        <f t="shared" si="0"/>
        <v>70</v>
      </c>
      <c r="G32" s="46">
        <v>28</v>
      </c>
      <c r="H32" s="60">
        <f t="shared" si="1"/>
        <v>0.7</v>
      </c>
      <c r="J32" s="86">
        <f t="shared" si="2"/>
        <v>70</v>
      </c>
      <c r="L32" s="64">
        <v>21</v>
      </c>
      <c r="M32" s="48">
        <f t="shared" si="3"/>
        <v>0.52500000000000002</v>
      </c>
      <c r="N32" s="46">
        <v>45</v>
      </c>
      <c r="O32" s="48">
        <f t="shared" si="4"/>
        <v>0.75</v>
      </c>
      <c r="P32" s="63">
        <v>26</v>
      </c>
      <c r="Q32" s="126">
        <f t="shared" si="5"/>
        <v>0.52</v>
      </c>
      <c r="R32" s="148">
        <f t="shared" si="6"/>
        <v>61.3</v>
      </c>
      <c r="T32" s="46">
        <v>22</v>
      </c>
      <c r="U32" s="61">
        <f t="shared" si="7"/>
        <v>0.62857142857142856</v>
      </c>
      <c r="V32" s="183"/>
      <c r="W32" s="46">
        <v>36</v>
      </c>
      <c r="X32" s="169">
        <f t="shared" si="8"/>
        <v>0.9</v>
      </c>
      <c r="Y32" s="190">
        <f t="shared" si="9"/>
        <v>79.142857142857139</v>
      </c>
      <c r="AA32" s="25">
        <v>23</v>
      </c>
      <c r="AB32" s="63">
        <v>42</v>
      </c>
      <c r="AC32" s="203">
        <f t="shared" si="10"/>
        <v>0.72</v>
      </c>
    </row>
    <row r="33" spans="1:29" ht="14.25" customHeight="1" thickBot="1" x14ac:dyDescent="0.25">
      <c r="A33" s="4">
        <v>29</v>
      </c>
      <c r="B33" s="5" t="s">
        <v>277</v>
      </c>
      <c r="C33" s="23" t="s">
        <v>507</v>
      </c>
      <c r="D33" s="80">
        <v>18</v>
      </c>
      <c r="E33" s="81">
        <v>18.5</v>
      </c>
      <c r="G33" s="46">
        <v>21</v>
      </c>
      <c r="H33" s="60">
        <f t="shared" si="1"/>
        <v>0.52500000000000002</v>
      </c>
      <c r="J33" s="86">
        <f t="shared" si="2"/>
        <v>49.5</v>
      </c>
      <c r="L33" s="64">
        <v>32</v>
      </c>
      <c r="M33" s="48">
        <f t="shared" si="3"/>
        <v>0.8</v>
      </c>
      <c r="N33" s="46">
        <v>40</v>
      </c>
      <c r="O33" s="48">
        <f t="shared" si="4"/>
        <v>0.66666666666666663</v>
      </c>
      <c r="P33" s="63">
        <v>33</v>
      </c>
      <c r="Q33" s="126">
        <f t="shared" si="5"/>
        <v>0.66</v>
      </c>
      <c r="R33" s="148">
        <f t="shared" si="6"/>
        <v>69.066666666666663</v>
      </c>
      <c r="T33" s="46">
        <v>17</v>
      </c>
      <c r="U33" s="61">
        <f t="shared" si="7"/>
        <v>0.48571428571428571</v>
      </c>
      <c r="V33" s="182"/>
      <c r="W33" s="46">
        <v>20</v>
      </c>
      <c r="X33" s="169">
        <f t="shared" si="8"/>
        <v>0.5</v>
      </c>
      <c r="Y33" s="190">
        <f t="shared" si="9"/>
        <v>49.428571428571431</v>
      </c>
      <c r="AA33" s="25">
        <v>25</v>
      </c>
      <c r="AB33" s="63">
        <v>34</v>
      </c>
      <c r="AC33" s="203">
        <f t="shared" si="10"/>
        <v>0.64666666666666661</v>
      </c>
    </row>
    <row r="34" spans="1:29" ht="14.25" customHeight="1" thickBot="1" x14ac:dyDescent="0.25">
      <c r="A34" s="4">
        <v>30</v>
      </c>
      <c r="B34" s="27" t="s">
        <v>497</v>
      </c>
      <c r="C34" s="28" t="s">
        <v>498</v>
      </c>
      <c r="D34" s="80">
        <v>23</v>
      </c>
      <c r="E34" s="81">
        <f>D34/40*100</f>
        <v>57.499999999999993</v>
      </c>
      <c r="F34" s="32"/>
      <c r="G34" s="46">
        <v>17</v>
      </c>
      <c r="H34" s="60">
        <f t="shared" si="1"/>
        <v>0.42499999999999999</v>
      </c>
      <c r="J34" s="86">
        <f t="shared" si="2"/>
        <v>48.5</v>
      </c>
      <c r="L34" s="64">
        <v>23</v>
      </c>
      <c r="M34" s="48">
        <f t="shared" si="3"/>
        <v>0.57499999999999996</v>
      </c>
      <c r="N34" s="46">
        <v>42</v>
      </c>
      <c r="O34" s="48">
        <f t="shared" si="4"/>
        <v>0.7</v>
      </c>
      <c r="P34" s="63">
        <v>22</v>
      </c>
      <c r="Q34" s="126">
        <f t="shared" si="5"/>
        <v>0.44</v>
      </c>
      <c r="R34" s="148">
        <f t="shared" si="6"/>
        <v>57.1</v>
      </c>
      <c r="T34" s="46">
        <v>19</v>
      </c>
      <c r="U34" s="61">
        <f t="shared" si="7"/>
        <v>0.54285714285714282</v>
      </c>
      <c r="V34" s="183"/>
      <c r="W34" s="46">
        <v>22</v>
      </c>
      <c r="X34" s="169">
        <f t="shared" si="8"/>
        <v>0.55000000000000004</v>
      </c>
      <c r="Y34" s="190">
        <f t="shared" si="9"/>
        <v>54.714285714285708</v>
      </c>
      <c r="AA34" s="25">
        <v>22</v>
      </c>
      <c r="AB34" s="63">
        <v>32</v>
      </c>
      <c r="AC34" s="203">
        <f t="shared" si="10"/>
        <v>0.59333333333333338</v>
      </c>
    </row>
    <row r="35" spans="1:29" ht="14.25" customHeight="1" thickBot="1" x14ac:dyDescent="0.25">
      <c r="A35" s="4">
        <v>31</v>
      </c>
      <c r="B35" s="5" t="s">
        <v>278</v>
      </c>
      <c r="C35" s="23" t="s">
        <v>279</v>
      </c>
      <c r="D35" s="83">
        <v>28.5</v>
      </c>
      <c r="E35" s="84">
        <f>D35/40*100</f>
        <v>71.25</v>
      </c>
      <c r="G35" s="47">
        <v>28</v>
      </c>
      <c r="H35" s="60">
        <f t="shared" si="1"/>
        <v>0.7</v>
      </c>
      <c r="J35" s="86">
        <f t="shared" si="2"/>
        <v>70.5</v>
      </c>
      <c r="L35" s="131">
        <v>20</v>
      </c>
      <c r="M35" s="74">
        <f t="shared" si="3"/>
        <v>0.5</v>
      </c>
      <c r="N35" s="47">
        <v>51</v>
      </c>
      <c r="O35" s="74">
        <f t="shared" si="4"/>
        <v>0.85</v>
      </c>
      <c r="P35" s="66">
        <v>27</v>
      </c>
      <c r="Q35" s="127">
        <f t="shared" si="5"/>
        <v>0.54</v>
      </c>
      <c r="R35" s="149">
        <f t="shared" si="6"/>
        <v>65.599999999999994</v>
      </c>
      <c r="T35" s="47">
        <v>26</v>
      </c>
      <c r="U35" s="185">
        <f t="shared" si="7"/>
        <v>0.74285714285714288</v>
      </c>
      <c r="V35" s="176"/>
      <c r="W35" s="47">
        <v>29</v>
      </c>
      <c r="X35" s="170">
        <f t="shared" si="8"/>
        <v>0.72499999999999998</v>
      </c>
      <c r="Y35" s="191">
        <f t="shared" si="9"/>
        <v>73.214285714285722</v>
      </c>
      <c r="AA35" s="25">
        <v>23</v>
      </c>
      <c r="AB35" s="63">
        <v>35</v>
      </c>
      <c r="AC35" s="203">
        <f t="shared" si="10"/>
        <v>0.63833333333333331</v>
      </c>
    </row>
    <row r="36" spans="1:29" ht="14.25" customHeight="1" x14ac:dyDescent="0.2">
      <c r="E36" s="30"/>
      <c r="J36" s="87"/>
      <c r="W36" s="112" t="s">
        <v>522</v>
      </c>
    </row>
    <row r="37" spans="1:29" ht="14.25" customHeight="1" x14ac:dyDescent="0.2">
      <c r="E37" s="30">
        <f>AVERAGE(E5:E35)</f>
        <v>67.209677419354833</v>
      </c>
      <c r="R37" s="29">
        <f>AVERAGE(R5:R35)</f>
        <v>72.544086021505379</v>
      </c>
    </row>
    <row r="38" spans="1:29" ht="14.25" customHeight="1" x14ac:dyDescent="0.2">
      <c r="E38" s="30"/>
    </row>
    <row r="39" spans="1:29" ht="14.25" customHeight="1" x14ac:dyDescent="0.2">
      <c r="E39" s="30"/>
    </row>
    <row r="40" spans="1:29" ht="14.25" customHeight="1" x14ac:dyDescent="0.2">
      <c r="E40" s="30"/>
    </row>
    <row r="41" spans="1:29" ht="14.25" customHeight="1" x14ac:dyDescent="0.2">
      <c r="E41" s="30"/>
    </row>
    <row r="42" spans="1:29" ht="14.25" customHeight="1" x14ac:dyDescent="0.2">
      <c r="E42" s="30"/>
    </row>
    <row r="43" spans="1:29" ht="14.25" customHeight="1" x14ac:dyDescent="0.2"/>
    <row r="44" spans="1:29" ht="14.25" customHeight="1" x14ac:dyDescent="0.2"/>
    <row r="45" spans="1:29" ht="14.25" customHeight="1" x14ac:dyDescent="0.2"/>
    <row r="46" spans="1:29" ht="14.25" customHeight="1" x14ac:dyDescent="0.2"/>
    <row r="47" spans="1:29" ht="14.25" customHeight="1" x14ac:dyDescent="0.2"/>
    <row r="48" spans="1:29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sortState xmlns:xlrd2="http://schemas.microsoft.com/office/spreadsheetml/2017/richdata2" ref="B5:R35">
    <sortCondition ref="B5:B35"/>
  </sortState>
  <mergeCells count="6">
    <mergeCell ref="AA2:AC2"/>
    <mergeCell ref="D2:J2"/>
    <mergeCell ref="L2:R2"/>
    <mergeCell ref="T3:U3"/>
    <mergeCell ref="W3:X3"/>
    <mergeCell ref="T2:Y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C965"/>
  <sheetViews>
    <sheetView topLeftCell="C8" zoomScale="120" zoomScaleNormal="120" workbookViewId="0">
      <selection activeCell="AC25" sqref="AC25"/>
    </sheetView>
  </sheetViews>
  <sheetFormatPr baseColWidth="10" defaultColWidth="14.5" defaultRowHeight="15" customHeight="1" x14ac:dyDescent="0.2"/>
  <cols>
    <col min="1" max="1" width="3.5" customWidth="1"/>
    <col min="2" max="2" width="12.5" customWidth="1"/>
    <col min="3" max="3" width="18" customWidth="1"/>
    <col min="4" max="5" width="8.6640625" hidden="1" customWidth="1"/>
    <col min="6" max="6" width="3.6640625" hidden="1" customWidth="1"/>
    <col min="7" max="7" width="8.33203125" hidden="1" customWidth="1"/>
    <col min="8" max="8" width="9" hidden="1" customWidth="1"/>
    <col min="9" max="9" width="4" hidden="1" customWidth="1"/>
    <col min="10" max="10" width="8.6640625" customWidth="1"/>
    <col min="11" max="11" width="3.5" customWidth="1"/>
    <col min="12" max="13" width="8.6640625" hidden="1" customWidth="1"/>
    <col min="14" max="17" width="7.6640625" hidden="1" customWidth="1"/>
    <col min="18" max="18" width="7.6640625" customWidth="1"/>
    <col min="19" max="19" width="3.6640625" customWidth="1"/>
    <col min="20" max="21" width="7.6640625" hidden="1" customWidth="1"/>
    <col min="22" max="22" width="4.33203125" hidden="1" customWidth="1"/>
    <col min="23" max="24" width="8.6640625" hidden="1" customWidth="1"/>
    <col min="25" max="25" width="8.33203125" customWidth="1"/>
    <col min="26" max="26" width="7.6640625" customWidth="1"/>
    <col min="27" max="27" width="10" customWidth="1"/>
    <col min="28" max="28" width="9.5" customWidth="1"/>
    <col min="29" max="29" width="10.6640625" customWidth="1"/>
    <col min="30" max="30" width="8.1640625" customWidth="1"/>
  </cols>
  <sheetData>
    <row r="1" spans="1:29" ht="14.25" customHeight="1" thickBot="1" x14ac:dyDescent="0.25">
      <c r="C1" s="1" t="s">
        <v>280</v>
      </c>
    </row>
    <row r="2" spans="1:29" ht="14.25" customHeight="1" thickBot="1" x14ac:dyDescent="0.25">
      <c r="C2" s="1" t="s">
        <v>516</v>
      </c>
      <c r="D2" s="329" t="s">
        <v>513</v>
      </c>
      <c r="E2" s="330"/>
      <c r="F2" s="330"/>
      <c r="G2" s="330"/>
      <c r="H2" s="330"/>
      <c r="I2" s="330"/>
      <c r="J2" s="331"/>
      <c r="L2" s="332" t="s">
        <v>521</v>
      </c>
      <c r="M2" s="330"/>
      <c r="N2" s="330"/>
      <c r="O2" s="330"/>
      <c r="P2" s="330"/>
      <c r="Q2" s="330"/>
      <c r="R2" s="331"/>
      <c r="T2" s="329" t="s">
        <v>524</v>
      </c>
      <c r="U2" s="330"/>
      <c r="V2" s="330"/>
      <c r="W2" s="330"/>
      <c r="X2" s="330"/>
      <c r="Y2" s="331"/>
      <c r="AA2" s="328" t="s">
        <v>529</v>
      </c>
      <c r="AB2" s="328"/>
      <c r="AC2" s="328"/>
    </row>
    <row r="3" spans="1:29" ht="31.5" customHeight="1" thickBot="1" x14ac:dyDescent="0.25">
      <c r="D3" s="76" t="s">
        <v>515</v>
      </c>
      <c r="E3" s="77"/>
      <c r="G3" s="57" t="s">
        <v>511</v>
      </c>
      <c r="H3" s="58"/>
      <c r="J3" s="92" t="s">
        <v>512</v>
      </c>
      <c r="K3" s="171"/>
      <c r="L3" s="200" t="s">
        <v>515</v>
      </c>
      <c r="M3" s="201"/>
      <c r="N3" s="134" t="s">
        <v>519</v>
      </c>
      <c r="O3" s="137"/>
      <c r="P3" s="138" t="s">
        <v>520</v>
      </c>
      <c r="Q3" s="139"/>
      <c r="R3" s="133" t="s">
        <v>512</v>
      </c>
      <c r="S3" s="171"/>
      <c r="T3" s="337" t="s">
        <v>523</v>
      </c>
      <c r="U3" s="338"/>
      <c r="V3" s="339" t="s">
        <v>511</v>
      </c>
      <c r="W3" s="338"/>
      <c r="X3" s="340"/>
      <c r="Y3" s="194" t="s">
        <v>512</v>
      </c>
      <c r="AA3" s="130" t="s">
        <v>506</v>
      </c>
      <c r="AB3" s="209" t="s">
        <v>528</v>
      </c>
      <c r="AC3" s="124" t="s">
        <v>530</v>
      </c>
    </row>
    <row r="4" spans="1:29" ht="14.25" customHeight="1" thickBot="1" x14ac:dyDescent="0.25">
      <c r="A4" s="2" t="s">
        <v>3</v>
      </c>
      <c r="B4" s="98" t="s">
        <v>4</v>
      </c>
      <c r="C4" s="99" t="s">
        <v>5</v>
      </c>
      <c r="D4" s="100">
        <v>40</v>
      </c>
      <c r="E4" s="101" t="s">
        <v>463</v>
      </c>
      <c r="G4" s="102">
        <v>40</v>
      </c>
      <c r="H4" s="103" t="s">
        <v>463</v>
      </c>
      <c r="J4" s="104" t="s">
        <v>463</v>
      </c>
      <c r="L4" s="140">
        <v>40</v>
      </c>
      <c r="M4" s="141" t="s">
        <v>463</v>
      </c>
      <c r="N4" s="142">
        <v>60</v>
      </c>
      <c r="O4" s="143" t="s">
        <v>463</v>
      </c>
      <c r="P4" s="144">
        <v>50</v>
      </c>
      <c r="Q4" s="145" t="s">
        <v>463</v>
      </c>
      <c r="R4" s="146" t="s">
        <v>463</v>
      </c>
      <c r="T4" s="59">
        <v>35</v>
      </c>
      <c r="U4" s="178" t="s">
        <v>463</v>
      </c>
      <c r="V4" s="179"/>
      <c r="W4" s="184">
        <v>40</v>
      </c>
      <c r="X4" s="192" t="s">
        <v>463</v>
      </c>
      <c r="Y4" s="196" t="s">
        <v>463</v>
      </c>
      <c r="AB4" s="40"/>
      <c r="AC4" s="40"/>
    </row>
    <row r="5" spans="1:29" ht="14.25" customHeight="1" thickBot="1" x14ac:dyDescent="0.25">
      <c r="A5" s="31">
        <v>1</v>
      </c>
      <c r="B5" s="105" t="s">
        <v>286</v>
      </c>
      <c r="C5" s="42" t="s">
        <v>473</v>
      </c>
      <c r="D5" s="106">
        <v>12</v>
      </c>
      <c r="E5" s="106">
        <f>D5/40*100</f>
        <v>30</v>
      </c>
      <c r="F5" s="107"/>
      <c r="G5" s="65">
        <v>27</v>
      </c>
      <c r="H5" s="108">
        <f t="shared" ref="H5:H28" si="0">G5/40</f>
        <v>0.67500000000000004</v>
      </c>
      <c r="I5" s="107"/>
      <c r="J5" s="86">
        <f t="shared" ref="J5:J28" si="1">D5+G5/40*60</f>
        <v>52.5</v>
      </c>
      <c r="L5" s="151">
        <v>24</v>
      </c>
      <c r="M5" s="122">
        <f t="shared" ref="M5:M28" si="2">L5/40</f>
        <v>0.6</v>
      </c>
      <c r="N5" s="65">
        <v>42</v>
      </c>
      <c r="O5" s="122">
        <f t="shared" ref="O5:O28" si="3">N5/60</f>
        <v>0.7</v>
      </c>
      <c r="P5" s="65">
        <v>14</v>
      </c>
      <c r="Q5" s="122">
        <f t="shared" ref="Q5:Q28" si="4">P5/50</f>
        <v>0.28000000000000003</v>
      </c>
      <c r="R5" s="147">
        <f>(L5/40*20)+(N5/60*40)+(P5/50*40)</f>
        <v>51.2</v>
      </c>
      <c r="T5" s="54">
        <v>25</v>
      </c>
      <c r="U5" s="167">
        <f>T5/35</f>
        <v>0.7142857142857143</v>
      </c>
      <c r="V5" s="151"/>
      <c r="W5" s="186">
        <v>31</v>
      </c>
      <c r="X5" s="168">
        <f>W5/40</f>
        <v>0.77500000000000002</v>
      </c>
      <c r="Y5" s="197">
        <f>T5/35*40+W5/40*60</f>
        <v>75.071428571428569</v>
      </c>
      <c r="AA5" s="25">
        <v>16</v>
      </c>
      <c r="AB5" s="63">
        <v>30</v>
      </c>
      <c r="AC5" s="202">
        <f>(AA5+AB5/60*70)/100</f>
        <v>0.51</v>
      </c>
    </row>
    <row r="6" spans="1:29" ht="14.25" customHeight="1" thickBot="1" x14ac:dyDescent="0.25">
      <c r="A6" s="31">
        <v>2</v>
      </c>
      <c r="B6" s="109" t="s">
        <v>459</v>
      </c>
      <c r="C6" s="23" t="s">
        <v>470</v>
      </c>
      <c r="D6" s="26">
        <v>6.5</v>
      </c>
      <c r="E6" s="26">
        <f>D6/40*100</f>
        <v>16.25</v>
      </c>
      <c r="G6" s="46">
        <v>17</v>
      </c>
      <c r="H6" s="61">
        <f t="shared" si="0"/>
        <v>0.42499999999999999</v>
      </c>
      <c r="J6" s="86">
        <f t="shared" si="1"/>
        <v>32</v>
      </c>
      <c r="L6" s="46">
        <v>25</v>
      </c>
      <c r="M6" s="48">
        <f t="shared" si="2"/>
        <v>0.625</v>
      </c>
      <c r="N6" s="46">
        <v>37</v>
      </c>
      <c r="O6" s="48">
        <f t="shared" si="3"/>
        <v>0.6166666666666667</v>
      </c>
      <c r="P6" s="46">
        <v>13</v>
      </c>
      <c r="Q6" s="48">
        <f t="shared" si="4"/>
        <v>0.26</v>
      </c>
      <c r="R6" s="148">
        <f>(L6/40*20)+(N6/60*40)+(P6/50*40)</f>
        <v>47.56666666666667</v>
      </c>
      <c r="T6" s="46">
        <v>22</v>
      </c>
      <c r="U6" s="167">
        <f t="shared" ref="U6:U28" si="5">T6/35</f>
        <v>0.62857142857142856</v>
      </c>
      <c r="V6" s="64"/>
      <c r="W6" s="75">
        <v>24</v>
      </c>
      <c r="X6" s="168">
        <f t="shared" ref="X6:X28" si="6">W6/40</f>
        <v>0.6</v>
      </c>
      <c r="Y6" s="198">
        <f t="shared" ref="Y6:Y28" si="7">T6/35*40+W6/40*60</f>
        <v>61.142857142857139</v>
      </c>
      <c r="AA6" s="25">
        <v>10</v>
      </c>
      <c r="AB6" s="63">
        <v>21</v>
      </c>
      <c r="AC6" s="202">
        <f t="shared" ref="AC6:AC28" si="8">(AA6+AB6/60*70)/100</f>
        <v>0.34499999999999997</v>
      </c>
    </row>
    <row r="7" spans="1:29" ht="14.25" customHeight="1" thickBot="1" x14ac:dyDescent="0.25">
      <c r="A7" s="31">
        <v>3</v>
      </c>
      <c r="B7" s="110" t="s">
        <v>287</v>
      </c>
      <c r="C7" s="44" t="s">
        <v>474</v>
      </c>
      <c r="D7" s="26">
        <v>20</v>
      </c>
      <c r="E7" s="26">
        <f>D7/40*100</f>
        <v>50</v>
      </c>
      <c r="G7" s="46">
        <v>34</v>
      </c>
      <c r="H7" s="61">
        <f t="shared" si="0"/>
        <v>0.85</v>
      </c>
      <c r="J7" s="86">
        <f t="shared" si="1"/>
        <v>71</v>
      </c>
      <c r="L7" s="64">
        <v>31</v>
      </c>
      <c r="M7" s="48">
        <f t="shared" si="2"/>
        <v>0.77500000000000002</v>
      </c>
      <c r="N7" s="46">
        <v>50</v>
      </c>
      <c r="O7" s="48">
        <f t="shared" si="3"/>
        <v>0.83333333333333337</v>
      </c>
      <c r="P7" s="46">
        <v>40</v>
      </c>
      <c r="Q7" s="48">
        <f t="shared" si="4"/>
        <v>0.8</v>
      </c>
      <c r="R7" s="148">
        <f>(L7/40*20)+(N7/60*40)+(P7/50*40)</f>
        <v>80.833333333333343</v>
      </c>
      <c r="T7" s="46">
        <v>23</v>
      </c>
      <c r="U7" s="167">
        <f t="shared" si="5"/>
        <v>0.65714285714285714</v>
      </c>
      <c r="V7" s="64"/>
      <c r="W7" s="75">
        <v>33</v>
      </c>
      <c r="X7" s="168">
        <f t="shared" si="6"/>
        <v>0.82499999999999996</v>
      </c>
      <c r="Y7" s="198">
        <f t="shared" si="7"/>
        <v>75.785714285714278</v>
      </c>
      <c r="AA7" s="25">
        <v>29</v>
      </c>
      <c r="AB7" s="63">
        <v>46</v>
      </c>
      <c r="AC7" s="202">
        <f t="shared" si="8"/>
        <v>0.82666666666666666</v>
      </c>
    </row>
    <row r="8" spans="1:29" ht="14.25" customHeight="1" thickBot="1" x14ac:dyDescent="0.25">
      <c r="A8" s="31">
        <v>4</v>
      </c>
      <c r="B8" s="109" t="s">
        <v>467</v>
      </c>
      <c r="C8" s="23" t="s">
        <v>468</v>
      </c>
      <c r="D8" s="26">
        <v>16.5</v>
      </c>
      <c r="E8" s="26">
        <f>D8/40*100</f>
        <v>41.25</v>
      </c>
      <c r="G8" s="46">
        <v>27</v>
      </c>
      <c r="H8" s="61">
        <f t="shared" si="0"/>
        <v>0.67500000000000004</v>
      </c>
      <c r="J8" s="86">
        <f t="shared" si="1"/>
        <v>57</v>
      </c>
      <c r="L8" s="64">
        <v>30</v>
      </c>
      <c r="M8" s="48">
        <f t="shared" si="2"/>
        <v>0.75</v>
      </c>
      <c r="N8" s="46">
        <v>37</v>
      </c>
      <c r="O8" s="48">
        <f t="shared" si="3"/>
        <v>0.6166666666666667</v>
      </c>
      <c r="P8" s="46">
        <v>29</v>
      </c>
      <c r="Q8" s="48">
        <f t="shared" si="4"/>
        <v>0.57999999999999996</v>
      </c>
      <c r="R8" s="148">
        <f>(L8/40*20)+(N8/60*40)+(P8/50*40)</f>
        <v>62.866666666666674</v>
      </c>
      <c r="T8" s="46">
        <v>24</v>
      </c>
      <c r="U8" s="167">
        <f t="shared" si="5"/>
        <v>0.68571428571428572</v>
      </c>
      <c r="V8" s="64"/>
      <c r="W8" s="75">
        <v>31</v>
      </c>
      <c r="X8" s="168">
        <f t="shared" si="6"/>
        <v>0.77500000000000002</v>
      </c>
      <c r="Y8" s="198">
        <f t="shared" si="7"/>
        <v>73.928571428571431</v>
      </c>
      <c r="AA8" s="25">
        <v>19</v>
      </c>
      <c r="AB8" s="63">
        <v>40</v>
      </c>
      <c r="AC8" s="202">
        <f t="shared" si="8"/>
        <v>0.65666666666666662</v>
      </c>
    </row>
    <row r="9" spans="1:29" ht="14.25" customHeight="1" thickBot="1" x14ac:dyDescent="0.25">
      <c r="A9" s="31">
        <v>6</v>
      </c>
      <c r="B9" s="109" t="s">
        <v>517</v>
      </c>
      <c r="C9" s="23" t="s">
        <v>508</v>
      </c>
      <c r="D9" s="26">
        <v>5</v>
      </c>
      <c r="E9" s="26">
        <f t="shared" ref="E9:E28" si="9">D9/40*100</f>
        <v>12.5</v>
      </c>
      <c r="G9" s="46">
        <v>11</v>
      </c>
      <c r="H9" s="61">
        <f t="shared" si="0"/>
        <v>0.27500000000000002</v>
      </c>
      <c r="J9" s="86">
        <f t="shared" si="1"/>
        <v>21.5</v>
      </c>
      <c r="L9" s="46">
        <v>12</v>
      </c>
      <c r="M9" s="48">
        <f t="shared" si="2"/>
        <v>0.3</v>
      </c>
      <c r="N9" s="152"/>
      <c r="O9" s="48">
        <f t="shared" si="3"/>
        <v>0</v>
      </c>
      <c r="P9" s="46">
        <v>5</v>
      </c>
      <c r="Q9" s="48">
        <f t="shared" si="4"/>
        <v>0.1</v>
      </c>
      <c r="R9" s="148">
        <f>(L9/40*30)+(P9/50*70)</f>
        <v>16</v>
      </c>
      <c r="T9" s="46">
        <v>7</v>
      </c>
      <c r="U9" s="167">
        <f t="shared" si="5"/>
        <v>0.2</v>
      </c>
      <c r="V9" s="64"/>
      <c r="W9" s="75">
        <v>27</v>
      </c>
      <c r="X9" s="168">
        <f t="shared" si="6"/>
        <v>0.67500000000000004</v>
      </c>
      <c r="Y9" s="198">
        <f t="shared" si="7"/>
        <v>48.5</v>
      </c>
      <c r="AA9" s="25">
        <v>18</v>
      </c>
      <c r="AB9" s="63">
        <v>21</v>
      </c>
      <c r="AC9" s="202">
        <f t="shared" si="8"/>
        <v>0.42499999999999999</v>
      </c>
    </row>
    <row r="10" spans="1:29" ht="14.25" customHeight="1" thickBot="1" x14ac:dyDescent="0.25">
      <c r="A10" s="31">
        <v>7</v>
      </c>
      <c r="B10" s="109" t="s">
        <v>310</v>
      </c>
      <c r="C10" s="23" t="s">
        <v>311</v>
      </c>
      <c r="D10" s="26">
        <v>9.5</v>
      </c>
      <c r="E10" s="26">
        <f t="shared" si="9"/>
        <v>23.75</v>
      </c>
      <c r="G10" s="46">
        <v>23</v>
      </c>
      <c r="H10" s="61">
        <f t="shared" si="0"/>
        <v>0.57499999999999996</v>
      </c>
      <c r="J10" s="86">
        <f t="shared" si="1"/>
        <v>44</v>
      </c>
      <c r="L10" s="46">
        <v>28</v>
      </c>
      <c r="M10" s="48">
        <f t="shared" si="2"/>
        <v>0.7</v>
      </c>
      <c r="N10" s="46">
        <v>38</v>
      </c>
      <c r="O10" s="48">
        <f t="shared" si="3"/>
        <v>0.6333333333333333</v>
      </c>
      <c r="P10" s="46">
        <v>25</v>
      </c>
      <c r="Q10" s="48">
        <f t="shared" si="4"/>
        <v>0.5</v>
      </c>
      <c r="R10" s="148">
        <f>(L10/40*20)+(N10/60*40)+(P10/50*40)</f>
        <v>59.333333333333329</v>
      </c>
      <c r="T10" s="46">
        <v>22</v>
      </c>
      <c r="U10" s="167">
        <f t="shared" si="5"/>
        <v>0.62857142857142856</v>
      </c>
      <c r="V10" s="64"/>
      <c r="W10" s="75">
        <v>29</v>
      </c>
      <c r="X10" s="168">
        <f t="shared" si="6"/>
        <v>0.72499999999999998</v>
      </c>
      <c r="Y10" s="198">
        <f t="shared" si="7"/>
        <v>68.642857142857139</v>
      </c>
      <c r="AA10" s="25">
        <v>15</v>
      </c>
      <c r="AB10" s="63">
        <v>41</v>
      </c>
      <c r="AC10" s="202">
        <f t="shared" si="8"/>
        <v>0.62833333333333341</v>
      </c>
    </row>
    <row r="11" spans="1:29" ht="14.25" customHeight="1" thickBot="1" x14ac:dyDescent="0.25">
      <c r="A11" s="31">
        <v>8</v>
      </c>
      <c r="B11" s="109" t="s">
        <v>290</v>
      </c>
      <c r="C11" s="23" t="s">
        <v>291</v>
      </c>
      <c r="D11" s="26">
        <v>4.5</v>
      </c>
      <c r="E11" s="26">
        <f t="shared" si="9"/>
        <v>11.25</v>
      </c>
      <c r="G11" s="46">
        <v>9</v>
      </c>
      <c r="H11" s="61">
        <f t="shared" si="0"/>
        <v>0.22500000000000001</v>
      </c>
      <c r="J11" s="86">
        <f t="shared" si="1"/>
        <v>18</v>
      </c>
      <c r="L11" s="64">
        <v>30</v>
      </c>
      <c r="M11" s="48">
        <f t="shared" si="2"/>
        <v>0.75</v>
      </c>
      <c r="N11" s="152">
        <v>42</v>
      </c>
      <c r="O11" s="48">
        <f t="shared" si="3"/>
        <v>0.7</v>
      </c>
      <c r="P11" s="46">
        <v>31</v>
      </c>
      <c r="Q11" s="48">
        <f t="shared" si="4"/>
        <v>0.62</v>
      </c>
      <c r="R11" s="148">
        <f>(L11/40*20)+(N11/60*40)+(P11/50*40)</f>
        <v>67.8</v>
      </c>
      <c r="T11" s="46">
        <v>18</v>
      </c>
      <c r="U11" s="167">
        <f t="shared" si="5"/>
        <v>0.51428571428571423</v>
      </c>
      <c r="V11" s="46"/>
      <c r="W11" s="75">
        <v>31</v>
      </c>
      <c r="X11" s="168">
        <f t="shared" si="6"/>
        <v>0.77500000000000002</v>
      </c>
      <c r="Y11" s="198">
        <f t="shared" si="7"/>
        <v>67.071428571428569</v>
      </c>
      <c r="AA11" s="25">
        <v>10</v>
      </c>
      <c r="AB11" s="63">
        <v>30</v>
      </c>
      <c r="AC11" s="202">
        <f t="shared" si="8"/>
        <v>0.45</v>
      </c>
    </row>
    <row r="12" spans="1:29" ht="14.25" customHeight="1" thickBot="1" x14ac:dyDescent="0.25">
      <c r="A12" s="31">
        <v>9</v>
      </c>
      <c r="B12" s="109" t="s">
        <v>292</v>
      </c>
      <c r="C12" s="23" t="s">
        <v>293</v>
      </c>
      <c r="D12" s="26">
        <v>20</v>
      </c>
      <c r="E12" s="26">
        <f t="shared" si="9"/>
        <v>50</v>
      </c>
      <c r="G12" s="46">
        <v>21</v>
      </c>
      <c r="H12" s="61">
        <f t="shared" si="0"/>
        <v>0.52500000000000002</v>
      </c>
      <c r="J12" s="86">
        <f t="shared" si="1"/>
        <v>51.5</v>
      </c>
      <c r="L12" s="46">
        <v>26</v>
      </c>
      <c r="M12" s="48">
        <f t="shared" si="2"/>
        <v>0.65</v>
      </c>
      <c r="N12" s="46">
        <v>43</v>
      </c>
      <c r="O12" s="48">
        <f t="shared" si="3"/>
        <v>0.71666666666666667</v>
      </c>
      <c r="P12" s="46">
        <v>20</v>
      </c>
      <c r="Q12" s="48">
        <f t="shared" si="4"/>
        <v>0.4</v>
      </c>
      <c r="R12" s="148">
        <f t="shared" ref="R12:R24" si="10">(L12/40*20)+(N12/60*40)+(P12/50*40)</f>
        <v>57.666666666666671</v>
      </c>
      <c r="T12" s="46">
        <v>18</v>
      </c>
      <c r="U12" s="167">
        <f t="shared" si="5"/>
        <v>0.51428571428571423</v>
      </c>
      <c r="V12" s="46"/>
      <c r="W12" s="75">
        <v>17</v>
      </c>
      <c r="X12" s="168">
        <f t="shared" si="6"/>
        <v>0.42499999999999999</v>
      </c>
      <c r="Y12" s="198">
        <f t="shared" si="7"/>
        <v>46.071428571428569</v>
      </c>
      <c r="AA12" s="25">
        <v>10</v>
      </c>
      <c r="AB12" s="63">
        <v>35</v>
      </c>
      <c r="AC12" s="202">
        <f t="shared" si="8"/>
        <v>0.5083333333333333</v>
      </c>
    </row>
    <row r="13" spans="1:29" ht="14.25" customHeight="1" thickBot="1" x14ac:dyDescent="0.25">
      <c r="A13" s="31">
        <v>10</v>
      </c>
      <c r="B13" s="109" t="s">
        <v>396</v>
      </c>
      <c r="C13" s="45" t="s">
        <v>466</v>
      </c>
      <c r="D13" s="26">
        <v>11.5</v>
      </c>
      <c r="E13" s="26">
        <f t="shared" si="9"/>
        <v>28.749999999999996</v>
      </c>
      <c r="G13" s="46">
        <v>24</v>
      </c>
      <c r="H13" s="61">
        <f t="shared" si="0"/>
        <v>0.6</v>
      </c>
      <c r="J13" s="86">
        <f t="shared" si="1"/>
        <v>47.5</v>
      </c>
      <c r="L13" s="46">
        <v>17</v>
      </c>
      <c r="M13" s="48">
        <f t="shared" si="2"/>
        <v>0.42499999999999999</v>
      </c>
      <c r="N13" s="46">
        <v>41</v>
      </c>
      <c r="O13" s="48">
        <f t="shared" si="3"/>
        <v>0.68333333333333335</v>
      </c>
      <c r="P13" s="46">
        <v>30</v>
      </c>
      <c r="Q13" s="48">
        <f t="shared" si="4"/>
        <v>0.6</v>
      </c>
      <c r="R13" s="148">
        <f t="shared" si="10"/>
        <v>59.833333333333336</v>
      </c>
      <c r="T13" s="52">
        <v>22</v>
      </c>
      <c r="U13" s="167">
        <f t="shared" si="5"/>
        <v>0.62857142857142856</v>
      </c>
      <c r="V13" s="166"/>
      <c r="W13" s="187">
        <v>26</v>
      </c>
      <c r="X13" s="168">
        <f t="shared" si="6"/>
        <v>0.65</v>
      </c>
      <c r="Y13" s="198">
        <f t="shared" si="7"/>
        <v>64.142857142857139</v>
      </c>
      <c r="Z13" s="112"/>
      <c r="AA13" s="204">
        <v>26</v>
      </c>
      <c r="AB13" s="211">
        <v>27</v>
      </c>
      <c r="AC13" s="202">
        <f t="shared" si="8"/>
        <v>0.57499999999999996</v>
      </c>
    </row>
    <row r="14" spans="1:29" ht="16" thickBot="1" x14ac:dyDescent="0.25">
      <c r="A14" s="31">
        <v>11</v>
      </c>
      <c r="B14" s="109" t="s">
        <v>314</v>
      </c>
      <c r="C14" s="23" t="s">
        <v>315</v>
      </c>
      <c r="D14" s="26">
        <v>26</v>
      </c>
      <c r="E14" s="26">
        <f t="shared" si="9"/>
        <v>65</v>
      </c>
      <c r="F14" s="112" t="s">
        <v>504</v>
      </c>
      <c r="G14" s="52">
        <v>17</v>
      </c>
      <c r="H14" s="61">
        <f t="shared" si="0"/>
        <v>0.42499999999999999</v>
      </c>
      <c r="J14" s="86">
        <f t="shared" si="1"/>
        <v>51.5</v>
      </c>
      <c r="L14" s="64">
        <v>26</v>
      </c>
      <c r="M14" s="48">
        <f t="shared" si="2"/>
        <v>0.65</v>
      </c>
      <c r="N14" s="46">
        <v>45</v>
      </c>
      <c r="O14" s="48">
        <f t="shared" si="3"/>
        <v>0.75</v>
      </c>
      <c r="P14" s="46">
        <v>27</v>
      </c>
      <c r="Q14" s="48">
        <f t="shared" si="4"/>
        <v>0.54</v>
      </c>
      <c r="R14" s="148">
        <f t="shared" si="10"/>
        <v>64.599999999999994</v>
      </c>
      <c r="T14" s="46">
        <v>21</v>
      </c>
      <c r="U14" s="167">
        <f t="shared" si="5"/>
        <v>0.6</v>
      </c>
      <c r="V14" s="64"/>
      <c r="W14" s="75">
        <v>34</v>
      </c>
      <c r="X14" s="168">
        <f t="shared" si="6"/>
        <v>0.85</v>
      </c>
      <c r="Y14" s="198">
        <f t="shared" si="7"/>
        <v>75</v>
      </c>
      <c r="AA14" s="25">
        <v>16</v>
      </c>
      <c r="AB14" s="63">
        <v>37</v>
      </c>
      <c r="AC14" s="202">
        <f t="shared" si="8"/>
        <v>0.59166666666666667</v>
      </c>
    </row>
    <row r="15" spans="1:29" ht="14.25" customHeight="1" thickBot="1" x14ac:dyDescent="0.25">
      <c r="A15" s="31">
        <v>12</v>
      </c>
      <c r="B15" s="109" t="s">
        <v>295</v>
      </c>
      <c r="C15" s="23" t="s">
        <v>461</v>
      </c>
      <c r="D15" s="26">
        <v>21</v>
      </c>
      <c r="E15" s="26">
        <f t="shared" si="9"/>
        <v>52.5</v>
      </c>
      <c r="F15" s="32"/>
      <c r="G15" s="46">
        <v>16</v>
      </c>
      <c r="H15" s="61">
        <f t="shared" si="0"/>
        <v>0.4</v>
      </c>
      <c r="J15" s="86">
        <f t="shared" si="1"/>
        <v>45</v>
      </c>
      <c r="L15" s="64">
        <v>26</v>
      </c>
      <c r="M15" s="48">
        <f t="shared" si="2"/>
        <v>0.65</v>
      </c>
      <c r="N15" s="46">
        <v>39</v>
      </c>
      <c r="O15" s="48">
        <f t="shared" si="3"/>
        <v>0.65</v>
      </c>
      <c r="P15" s="46">
        <v>18</v>
      </c>
      <c r="Q15" s="48">
        <f t="shared" si="4"/>
        <v>0.36</v>
      </c>
      <c r="R15" s="148">
        <f t="shared" si="10"/>
        <v>53.4</v>
      </c>
      <c r="T15" s="46">
        <v>25</v>
      </c>
      <c r="U15" s="167">
        <f t="shared" si="5"/>
        <v>0.7142857142857143</v>
      </c>
      <c r="V15" s="64"/>
      <c r="W15" s="75">
        <v>26</v>
      </c>
      <c r="X15" s="168">
        <f t="shared" si="6"/>
        <v>0.65</v>
      </c>
      <c r="Y15" s="198">
        <f t="shared" si="7"/>
        <v>67.571428571428569</v>
      </c>
      <c r="AA15" s="25">
        <v>19</v>
      </c>
      <c r="AB15" s="63">
        <v>32</v>
      </c>
      <c r="AC15" s="202">
        <f t="shared" si="8"/>
        <v>0.56333333333333335</v>
      </c>
    </row>
    <row r="16" spans="1:29" ht="14.25" customHeight="1" thickBot="1" x14ac:dyDescent="0.25">
      <c r="A16" s="31">
        <v>13</v>
      </c>
      <c r="B16" s="109" t="s">
        <v>319</v>
      </c>
      <c r="C16" s="45" t="s">
        <v>320</v>
      </c>
      <c r="D16" s="26">
        <v>21</v>
      </c>
      <c r="E16" s="26">
        <f t="shared" si="9"/>
        <v>52.5</v>
      </c>
      <c r="F16" s="32"/>
      <c r="G16" s="46">
        <v>24</v>
      </c>
      <c r="H16" s="61">
        <f t="shared" si="0"/>
        <v>0.6</v>
      </c>
      <c r="J16" s="86">
        <f t="shared" si="1"/>
        <v>57</v>
      </c>
      <c r="L16" s="64">
        <v>31</v>
      </c>
      <c r="M16" s="48">
        <f t="shared" si="2"/>
        <v>0.77500000000000002</v>
      </c>
      <c r="N16" s="46">
        <v>41</v>
      </c>
      <c r="O16" s="48">
        <f t="shared" si="3"/>
        <v>0.68333333333333335</v>
      </c>
      <c r="P16" s="46">
        <v>36</v>
      </c>
      <c r="Q16" s="48">
        <f t="shared" si="4"/>
        <v>0.72</v>
      </c>
      <c r="R16" s="148">
        <f t="shared" si="10"/>
        <v>71.633333333333326</v>
      </c>
      <c r="T16" s="46">
        <v>23</v>
      </c>
      <c r="U16" s="167">
        <f t="shared" si="5"/>
        <v>0.65714285714285714</v>
      </c>
      <c r="V16" s="46"/>
      <c r="W16" s="75">
        <v>23</v>
      </c>
      <c r="X16" s="168">
        <f t="shared" si="6"/>
        <v>0.57499999999999996</v>
      </c>
      <c r="Y16" s="198">
        <f t="shared" si="7"/>
        <v>60.785714285714285</v>
      </c>
      <c r="AA16" s="25">
        <v>17</v>
      </c>
      <c r="AB16" s="63">
        <v>33</v>
      </c>
      <c r="AC16" s="202">
        <f t="shared" si="8"/>
        <v>0.55500000000000005</v>
      </c>
    </row>
    <row r="17" spans="1:29" ht="14.25" customHeight="1" thickBot="1" x14ac:dyDescent="0.25">
      <c r="A17" s="31">
        <v>14</v>
      </c>
      <c r="B17" s="109" t="s">
        <v>296</v>
      </c>
      <c r="C17" s="45" t="s">
        <v>297</v>
      </c>
      <c r="D17" s="26">
        <v>12.5</v>
      </c>
      <c r="E17" s="26">
        <f t="shared" si="9"/>
        <v>31.25</v>
      </c>
      <c r="F17" s="111">
        <v>842501980</v>
      </c>
      <c r="G17" s="53">
        <v>29</v>
      </c>
      <c r="H17" s="61">
        <f t="shared" si="0"/>
        <v>0.72499999999999998</v>
      </c>
      <c r="J17" s="86">
        <f t="shared" si="1"/>
        <v>56</v>
      </c>
      <c r="L17" s="64">
        <v>25</v>
      </c>
      <c r="M17" s="48">
        <f t="shared" si="2"/>
        <v>0.625</v>
      </c>
      <c r="N17" s="46">
        <v>40</v>
      </c>
      <c r="O17" s="48">
        <f t="shared" si="3"/>
        <v>0.66666666666666663</v>
      </c>
      <c r="P17" s="46">
        <v>34</v>
      </c>
      <c r="Q17" s="48">
        <f t="shared" si="4"/>
        <v>0.68</v>
      </c>
      <c r="R17" s="148">
        <f t="shared" si="10"/>
        <v>66.366666666666674</v>
      </c>
      <c r="T17" s="46">
        <v>22</v>
      </c>
      <c r="U17" s="167">
        <f t="shared" si="5"/>
        <v>0.62857142857142856</v>
      </c>
      <c r="V17" s="64"/>
      <c r="W17" s="75">
        <v>23</v>
      </c>
      <c r="X17" s="168">
        <f t="shared" si="6"/>
        <v>0.57499999999999996</v>
      </c>
      <c r="Y17" s="198">
        <f t="shared" si="7"/>
        <v>59.642857142857139</v>
      </c>
      <c r="AA17" s="25">
        <v>17</v>
      </c>
      <c r="AB17" s="63">
        <v>31</v>
      </c>
      <c r="AC17" s="202">
        <f t="shared" si="8"/>
        <v>0.53166666666666673</v>
      </c>
    </row>
    <row r="18" spans="1:29" ht="14.25" customHeight="1" thickBot="1" x14ac:dyDescent="0.25">
      <c r="A18" s="31">
        <v>15</v>
      </c>
      <c r="B18" s="109" t="s">
        <v>464</v>
      </c>
      <c r="C18" s="45" t="s">
        <v>465</v>
      </c>
      <c r="D18" s="26">
        <v>21.5</v>
      </c>
      <c r="E18" s="26">
        <f t="shared" si="9"/>
        <v>53.75</v>
      </c>
      <c r="G18" s="46">
        <v>33</v>
      </c>
      <c r="H18" s="61">
        <f t="shared" si="0"/>
        <v>0.82499999999999996</v>
      </c>
      <c r="J18" s="86">
        <f t="shared" si="1"/>
        <v>71</v>
      </c>
      <c r="L18" s="46">
        <v>27</v>
      </c>
      <c r="M18" s="48">
        <f t="shared" si="2"/>
        <v>0.67500000000000004</v>
      </c>
      <c r="N18" s="46">
        <v>39</v>
      </c>
      <c r="O18" s="48">
        <f t="shared" si="3"/>
        <v>0.65</v>
      </c>
      <c r="P18" s="46">
        <v>40</v>
      </c>
      <c r="Q18" s="48">
        <f t="shared" si="4"/>
        <v>0.8</v>
      </c>
      <c r="R18" s="148">
        <f t="shared" si="10"/>
        <v>71.5</v>
      </c>
      <c r="T18" s="46">
        <v>26</v>
      </c>
      <c r="U18" s="167">
        <f t="shared" si="5"/>
        <v>0.74285714285714288</v>
      </c>
      <c r="V18" s="64"/>
      <c r="W18" s="75">
        <v>38</v>
      </c>
      <c r="X18" s="168">
        <f t="shared" si="6"/>
        <v>0.95</v>
      </c>
      <c r="Y18" s="198">
        <f t="shared" si="7"/>
        <v>86.714285714285722</v>
      </c>
      <c r="AA18" s="25">
        <v>20</v>
      </c>
      <c r="AB18" s="63">
        <v>36</v>
      </c>
      <c r="AC18" s="202">
        <f t="shared" si="8"/>
        <v>0.62</v>
      </c>
    </row>
    <row r="19" spans="1:29" ht="14.25" customHeight="1" thickBot="1" x14ac:dyDescent="0.25">
      <c r="A19" s="31">
        <v>16</v>
      </c>
      <c r="B19" s="109" t="s">
        <v>456</v>
      </c>
      <c r="C19" s="23" t="s">
        <v>471</v>
      </c>
      <c r="D19" s="26">
        <v>23.5</v>
      </c>
      <c r="E19" s="26">
        <f t="shared" si="9"/>
        <v>58.75</v>
      </c>
      <c r="F19" s="32"/>
      <c r="G19" s="46">
        <v>24</v>
      </c>
      <c r="H19" s="61">
        <f t="shared" si="0"/>
        <v>0.6</v>
      </c>
      <c r="J19" s="86">
        <f t="shared" si="1"/>
        <v>59.5</v>
      </c>
      <c r="L19" s="64">
        <v>26</v>
      </c>
      <c r="M19" s="48">
        <f t="shared" si="2"/>
        <v>0.65</v>
      </c>
      <c r="N19" s="46">
        <v>39</v>
      </c>
      <c r="O19" s="48">
        <f t="shared" si="3"/>
        <v>0.65</v>
      </c>
      <c r="P19" s="46">
        <v>25</v>
      </c>
      <c r="Q19" s="48">
        <f t="shared" si="4"/>
        <v>0.5</v>
      </c>
      <c r="R19" s="148">
        <f t="shared" si="10"/>
        <v>59</v>
      </c>
      <c r="T19" s="46">
        <v>28</v>
      </c>
      <c r="U19" s="167">
        <f t="shared" si="5"/>
        <v>0.8</v>
      </c>
      <c r="V19" s="64"/>
      <c r="W19" s="75">
        <v>33</v>
      </c>
      <c r="X19" s="168">
        <f t="shared" si="6"/>
        <v>0.82499999999999996</v>
      </c>
      <c r="Y19" s="198">
        <f t="shared" si="7"/>
        <v>81.5</v>
      </c>
      <c r="AA19" s="25">
        <v>19</v>
      </c>
      <c r="AB19" s="63">
        <v>43</v>
      </c>
      <c r="AC19" s="202">
        <f t="shared" si="8"/>
        <v>0.69166666666666654</v>
      </c>
    </row>
    <row r="20" spans="1:29" ht="14.25" customHeight="1" thickBot="1" x14ac:dyDescent="0.25">
      <c r="A20" s="31">
        <v>17</v>
      </c>
      <c r="B20" s="109" t="s">
        <v>301</v>
      </c>
      <c r="C20" s="23" t="s">
        <v>302</v>
      </c>
      <c r="D20" s="26">
        <v>21.5</v>
      </c>
      <c r="E20" s="26">
        <f t="shared" si="9"/>
        <v>53.75</v>
      </c>
      <c r="F20" s="114"/>
      <c r="G20" s="46">
        <v>19</v>
      </c>
      <c r="H20" s="61">
        <f t="shared" si="0"/>
        <v>0.47499999999999998</v>
      </c>
      <c r="J20" s="86">
        <f t="shared" si="1"/>
        <v>50</v>
      </c>
      <c r="L20" s="46">
        <v>30</v>
      </c>
      <c r="M20" s="48">
        <f t="shared" si="2"/>
        <v>0.75</v>
      </c>
      <c r="N20" s="46">
        <v>34</v>
      </c>
      <c r="O20" s="48">
        <f t="shared" si="3"/>
        <v>0.56666666666666665</v>
      </c>
      <c r="P20" s="46">
        <v>34</v>
      </c>
      <c r="Q20" s="48">
        <f t="shared" si="4"/>
        <v>0.68</v>
      </c>
      <c r="R20" s="148">
        <f t="shared" si="10"/>
        <v>64.866666666666674</v>
      </c>
      <c r="T20" s="46">
        <v>18</v>
      </c>
      <c r="U20" s="167">
        <f t="shared" si="5"/>
        <v>0.51428571428571423</v>
      </c>
      <c r="V20" s="46"/>
      <c r="W20" s="75">
        <v>28</v>
      </c>
      <c r="X20" s="168">
        <f t="shared" si="6"/>
        <v>0.7</v>
      </c>
      <c r="Y20" s="198">
        <f t="shared" si="7"/>
        <v>62.571428571428569</v>
      </c>
      <c r="AA20" s="25">
        <v>19</v>
      </c>
      <c r="AB20" s="63">
        <v>35</v>
      </c>
      <c r="AC20" s="202">
        <f t="shared" si="8"/>
        <v>0.59833333333333338</v>
      </c>
    </row>
    <row r="21" spans="1:29" ht="14.25" customHeight="1" thickBot="1" x14ac:dyDescent="0.25">
      <c r="A21" s="31">
        <v>18</v>
      </c>
      <c r="B21" s="109" t="s">
        <v>78</v>
      </c>
      <c r="C21" s="45" t="s">
        <v>469</v>
      </c>
      <c r="D21" s="26">
        <v>22</v>
      </c>
      <c r="E21" s="26">
        <f t="shared" si="9"/>
        <v>55.000000000000007</v>
      </c>
      <c r="F21" s="112" t="s">
        <v>502</v>
      </c>
      <c r="G21" s="52">
        <v>18</v>
      </c>
      <c r="H21" s="61">
        <f t="shared" si="0"/>
        <v>0.45</v>
      </c>
      <c r="J21" s="86">
        <f t="shared" si="1"/>
        <v>49</v>
      </c>
      <c r="L21" s="46">
        <v>22</v>
      </c>
      <c r="M21" s="48">
        <f t="shared" si="2"/>
        <v>0.55000000000000004</v>
      </c>
      <c r="N21" s="46">
        <v>38</v>
      </c>
      <c r="O21" s="48">
        <f t="shared" si="3"/>
        <v>0.6333333333333333</v>
      </c>
      <c r="P21" s="46">
        <v>25</v>
      </c>
      <c r="Q21" s="48">
        <f t="shared" si="4"/>
        <v>0.5</v>
      </c>
      <c r="R21" s="148">
        <f t="shared" si="10"/>
        <v>56.333333333333329</v>
      </c>
      <c r="T21" s="46">
        <v>28</v>
      </c>
      <c r="U21" s="167">
        <f t="shared" si="5"/>
        <v>0.8</v>
      </c>
      <c r="V21" s="64"/>
      <c r="W21" s="75">
        <v>30</v>
      </c>
      <c r="X21" s="168">
        <f t="shared" si="6"/>
        <v>0.75</v>
      </c>
      <c r="Y21" s="198">
        <f t="shared" si="7"/>
        <v>77</v>
      </c>
      <c r="AA21" s="25">
        <v>18</v>
      </c>
      <c r="AB21" s="63">
        <v>40</v>
      </c>
      <c r="AC21" s="202">
        <f t="shared" si="8"/>
        <v>0.64666666666666661</v>
      </c>
    </row>
    <row r="22" spans="1:29" ht="14.25" customHeight="1" thickBot="1" x14ac:dyDescent="0.25">
      <c r="A22" s="31">
        <v>19</v>
      </c>
      <c r="B22" s="109" t="s">
        <v>303</v>
      </c>
      <c r="C22" s="45" t="s">
        <v>188</v>
      </c>
      <c r="D22" s="26">
        <v>12</v>
      </c>
      <c r="E22" s="26">
        <f t="shared" si="9"/>
        <v>30</v>
      </c>
      <c r="G22" s="46">
        <v>10</v>
      </c>
      <c r="H22" s="61">
        <f t="shared" si="0"/>
        <v>0.25</v>
      </c>
      <c r="J22" s="86">
        <f t="shared" si="1"/>
        <v>27</v>
      </c>
      <c r="L22" s="64">
        <v>30</v>
      </c>
      <c r="M22" s="48">
        <f t="shared" si="2"/>
        <v>0.75</v>
      </c>
      <c r="N22" s="46">
        <v>49</v>
      </c>
      <c r="O22" s="48">
        <f t="shared" si="3"/>
        <v>0.81666666666666665</v>
      </c>
      <c r="P22" s="46">
        <v>24</v>
      </c>
      <c r="Q22" s="48">
        <f t="shared" si="4"/>
        <v>0.48</v>
      </c>
      <c r="R22" s="148">
        <f t="shared" si="10"/>
        <v>66.86666666666666</v>
      </c>
      <c r="T22" s="46">
        <v>20</v>
      </c>
      <c r="U22" s="167">
        <f t="shared" si="5"/>
        <v>0.5714285714285714</v>
      </c>
      <c r="V22" s="64"/>
      <c r="W22" s="75">
        <v>28</v>
      </c>
      <c r="X22" s="168">
        <f t="shared" si="6"/>
        <v>0.7</v>
      </c>
      <c r="Y22" s="198">
        <f t="shared" si="7"/>
        <v>64.857142857142861</v>
      </c>
      <c r="AA22" s="25">
        <v>27</v>
      </c>
      <c r="AB22" s="63">
        <v>42</v>
      </c>
      <c r="AC22" s="202">
        <f t="shared" si="8"/>
        <v>0.76</v>
      </c>
    </row>
    <row r="23" spans="1:29" ht="14.25" customHeight="1" thickBot="1" x14ac:dyDescent="0.25">
      <c r="A23" s="31">
        <v>20</v>
      </c>
      <c r="B23" s="109" t="s">
        <v>475</v>
      </c>
      <c r="C23" s="23" t="s">
        <v>476</v>
      </c>
      <c r="D23" s="26">
        <v>20</v>
      </c>
      <c r="E23" s="26">
        <f t="shared" si="9"/>
        <v>50</v>
      </c>
      <c r="F23" s="112" t="s">
        <v>503</v>
      </c>
      <c r="G23" s="52">
        <v>21</v>
      </c>
      <c r="H23" s="61">
        <f t="shared" si="0"/>
        <v>0.52500000000000002</v>
      </c>
      <c r="J23" s="86">
        <f t="shared" si="1"/>
        <v>51.5</v>
      </c>
      <c r="L23" s="46">
        <v>29</v>
      </c>
      <c r="M23" s="48">
        <f t="shared" si="2"/>
        <v>0.72499999999999998</v>
      </c>
      <c r="N23" s="46">
        <v>39</v>
      </c>
      <c r="O23" s="48">
        <f t="shared" si="3"/>
        <v>0.65</v>
      </c>
      <c r="P23" s="46">
        <v>23</v>
      </c>
      <c r="Q23" s="48">
        <f t="shared" si="4"/>
        <v>0.46</v>
      </c>
      <c r="R23" s="148">
        <f t="shared" si="10"/>
        <v>58.900000000000006</v>
      </c>
      <c r="T23" s="46">
        <v>20</v>
      </c>
      <c r="U23" s="167">
        <f t="shared" si="5"/>
        <v>0.5714285714285714</v>
      </c>
      <c r="V23" s="64"/>
      <c r="W23" s="75">
        <v>29</v>
      </c>
      <c r="X23" s="168">
        <f t="shared" si="6"/>
        <v>0.72499999999999998</v>
      </c>
      <c r="Y23" s="198">
        <f t="shared" si="7"/>
        <v>66.357142857142861</v>
      </c>
      <c r="AA23" s="25">
        <v>18</v>
      </c>
      <c r="AB23" s="63">
        <v>40</v>
      </c>
      <c r="AC23" s="202">
        <f t="shared" si="8"/>
        <v>0.64666666666666661</v>
      </c>
    </row>
    <row r="24" spans="1:29" ht="14.25" customHeight="1" thickBot="1" x14ac:dyDescent="0.25">
      <c r="A24" s="31">
        <v>21</v>
      </c>
      <c r="B24" s="113" t="s">
        <v>322</v>
      </c>
      <c r="C24" s="51" t="s">
        <v>323</v>
      </c>
      <c r="D24" s="26">
        <v>7</v>
      </c>
      <c r="E24" s="26">
        <f t="shared" si="9"/>
        <v>17.5</v>
      </c>
      <c r="F24" s="32"/>
      <c r="G24" s="46">
        <v>18</v>
      </c>
      <c r="H24" s="61">
        <f t="shared" si="0"/>
        <v>0.45</v>
      </c>
      <c r="J24" s="86">
        <f t="shared" si="1"/>
        <v>34</v>
      </c>
      <c r="L24" s="64">
        <v>14</v>
      </c>
      <c r="M24" s="48">
        <f t="shared" si="2"/>
        <v>0.35</v>
      </c>
      <c r="N24" s="152">
        <v>24</v>
      </c>
      <c r="O24" s="48">
        <f t="shared" si="3"/>
        <v>0.4</v>
      </c>
      <c r="P24" s="46">
        <v>14</v>
      </c>
      <c r="Q24" s="48">
        <f t="shared" si="4"/>
        <v>0.28000000000000003</v>
      </c>
      <c r="R24" s="148">
        <f t="shared" si="10"/>
        <v>34.200000000000003</v>
      </c>
      <c r="T24" s="46">
        <v>18</v>
      </c>
      <c r="U24" s="167">
        <f t="shared" si="5"/>
        <v>0.51428571428571423</v>
      </c>
      <c r="V24" s="64"/>
      <c r="W24" s="75">
        <v>26</v>
      </c>
      <c r="X24" s="168">
        <f t="shared" si="6"/>
        <v>0.65</v>
      </c>
      <c r="Y24" s="198">
        <f t="shared" si="7"/>
        <v>59.571428571428569</v>
      </c>
      <c r="AA24" s="25">
        <v>10</v>
      </c>
      <c r="AB24" s="63">
        <v>26</v>
      </c>
      <c r="AC24" s="202">
        <f t="shared" si="8"/>
        <v>0.40333333333333338</v>
      </c>
    </row>
    <row r="25" spans="1:29" ht="14.25" customHeight="1" thickBot="1" x14ac:dyDescent="0.25">
      <c r="A25" s="31">
        <v>22</v>
      </c>
      <c r="B25" s="155" t="s">
        <v>325</v>
      </c>
      <c r="C25" s="157" t="s">
        <v>326</v>
      </c>
      <c r="D25" s="26">
        <v>19.5</v>
      </c>
      <c r="E25" s="26">
        <f t="shared" si="9"/>
        <v>48.75</v>
      </c>
      <c r="G25" s="46">
        <v>20</v>
      </c>
      <c r="H25" s="61">
        <f t="shared" si="0"/>
        <v>0.5</v>
      </c>
      <c r="J25" s="86">
        <f t="shared" si="1"/>
        <v>49.5</v>
      </c>
      <c r="L25" s="64">
        <v>31</v>
      </c>
      <c r="M25" s="48">
        <f t="shared" si="2"/>
        <v>0.77500000000000002</v>
      </c>
      <c r="N25" s="46">
        <v>35</v>
      </c>
      <c r="O25" s="48">
        <f t="shared" si="3"/>
        <v>0.58333333333333337</v>
      </c>
      <c r="P25" s="46">
        <v>26</v>
      </c>
      <c r="Q25" s="48">
        <f t="shared" si="4"/>
        <v>0.52</v>
      </c>
      <c r="R25" s="148">
        <f>(L25/40*20)+(N25/60*40)+(P25/50*40)</f>
        <v>59.63333333333334</v>
      </c>
      <c r="T25" s="46">
        <v>25</v>
      </c>
      <c r="U25" s="167">
        <f t="shared" si="5"/>
        <v>0.7142857142857143</v>
      </c>
      <c r="V25" s="64"/>
      <c r="W25" s="75">
        <v>31</v>
      </c>
      <c r="X25" s="168">
        <f t="shared" si="6"/>
        <v>0.77500000000000002</v>
      </c>
      <c r="Y25" s="198">
        <f t="shared" si="7"/>
        <v>75.071428571428569</v>
      </c>
      <c r="AA25" s="25">
        <v>19</v>
      </c>
      <c r="AB25" s="63">
        <v>41</v>
      </c>
      <c r="AC25" s="202">
        <f t="shared" si="8"/>
        <v>0.66833333333333345</v>
      </c>
    </row>
    <row r="26" spans="1:29" ht="14.25" customHeight="1" thickBot="1" x14ac:dyDescent="0.25">
      <c r="A26" s="31">
        <v>23</v>
      </c>
      <c r="B26" s="154" t="s">
        <v>150</v>
      </c>
      <c r="C26" s="156" t="s">
        <v>472</v>
      </c>
      <c r="D26" s="93">
        <v>15</v>
      </c>
      <c r="E26" s="93">
        <f t="shared" si="9"/>
        <v>37.5</v>
      </c>
      <c r="G26" s="94">
        <v>25</v>
      </c>
      <c r="H26" s="95">
        <f t="shared" si="0"/>
        <v>0.625</v>
      </c>
      <c r="J26" s="86">
        <f t="shared" si="1"/>
        <v>52.5</v>
      </c>
      <c r="L26" s="46">
        <v>20</v>
      </c>
      <c r="M26" s="48">
        <f t="shared" si="2"/>
        <v>0.5</v>
      </c>
      <c r="N26" s="46">
        <v>40</v>
      </c>
      <c r="O26" s="48">
        <f t="shared" si="3"/>
        <v>0.66666666666666663</v>
      </c>
      <c r="P26" s="46">
        <v>31</v>
      </c>
      <c r="Q26" s="48">
        <f t="shared" si="4"/>
        <v>0.62</v>
      </c>
      <c r="R26" s="148">
        <f>(L26/40*20)+(N26/60*40)+(P26/50*40)</f>
        <v>61.466666666666669</v>
      </c>
      <c r="T26" s="46">
        <v>23</v>
      </c>
      <c r="U26" s="167">
        <f t="shared" si="5"/>
        <v>0.65714285714285714</v>
      </c>
      <c r="V26" s="64"/>
      <c r="W26" s="75">
        <v>28</v>
      </c>
      <c r="X26" s="168">
        <f t="shared" si="6"/>
        <v>0.7</v>
      </c>
      <c r="Y26" s="198">
        <f t="shared" si="7"/>
        <v>68.285714285714278</v>
      </c>
      <c r="AA26" s="25">
        <v>23</v>
      </c>
      <c r="AB26" s="63">
        <v>40</v>
      </c>
      <c r="AC26" s="202">
        <f t="shared" si="8"/>
        <v>0.69666666666666655</v>
      </c>
    </row>
    <row r="27" spans="1:29" ht="14.25" customHeight="1" thickBot="1" x14ac:dyDescent="0.25">
      <c r="A27" s="31">
        <v>24</v>
      </c>
      <c r="B27" s="115" t="s">
        <v>420</v>
      </c>
      <c r="C27" s="96" t="s">
        <v>462</v>
      </c>
      <c r="D27" s="26">
        <v>5.5</v>
      </c>
      <c r="E27" s="26">
        <f t="shared" si="9"/>
        <v>13.750000000000002</v>
      </c>
      <c r="F27" s="159"/>
      <c r="G27" s="25">
        <v>28</v>
      </c>
      <c r="H27" s="97">
        <f t="shared" si="0"/>
        <v>0.7</v>
      </c>
      <c r="I27" s="25"/>
      <c r="J27" s="116">
        <f t="shared" si="1"/>
        <v>47.5</v>
      </c>
      <c r="L27" s="64">
        <v>17</v>
      </c>
      <c r="M27" s="48">
        <f t="shared" si="2"/>
        <v>0.42499999999999999</v>
      </c>
      <c r="N27" s="46">
        <v>30</v>
      </c>
      <c r="O27" s="48">
        <f t="shared" si="3"/>
        <v>0.5</v>
      </c>
      <c r="P27" s="46">
        <v>35</v>
      </c>
      <c r="Q27" s="48">
        <f t="shared" si="4"/>
        <v>0.7</v>
      </c>
      <c r="R27" s="148">
        <f>(L27/40*20)+(N27/60*40)+(P27/50*40)</f>
        <v>56.5</v>
      </c>
      <c r="T27" s="46">
        <v>20</v>
      </c>
      <c r="U27" s="167">
        <f t="shared" si="5"/>
        <v>0.5714285714285714</v>
      </c>
      <c r="V27" s="64"/>
      <c r="W27" s="75">
        <v>29</v>
      </c>
      <c r="X27" s="168">
        <f t="shared" si="6"/>
        <v>0.72499999999999998</v>
      </c>
      <c r="Y27" s="198">
        <f t="shared" si="7"/>
        <v>66.357142857142861</v>
      </c>
      <c r="AA27" s="25">
        <v>25</v>
      </c>
      <c r="AB27" s="63">
        <v>36</v>
      </c>
      <c r="AC27" s="202">
        <f t="shared" si="8"/>
        <v>0.67</v>
      </c>
    </row>
    <row r="28" spans="1:29" ht="14.25" customHeight="1" thickBot="1" x14ac:dyDescent="0.25">
      <c r="A28" s="31">
        <v>25</v>
      </c>
      <c r="B28" s="117" t="s">
        <v>330</v>
      </c>
      <c r="C28" s="158" t="s">
        <v>331</v>
      </c>
      <c r="D28" s="118">
        <v>19.5</v>
      </c>
      <c r="E28" s="26">
        <f t="shared" si="9"/>
        <v>48.75</v>
      </c>
      <c r="F28" s="43"/>
      <c r="G28" s="43">
        <v>22</v>
      </c>
      <c r="H28" s="119">
        <f t="shared" si="0"/>
        <v>0.55000000000000004</v>
      </c>
      <c r="I28" s="43"/>
      <c r="J28" s="120">
        <f t="shared" si="1"/>
        <v>52.5</v>
      </c>
      <c r="L28" s="131">
        <v>21</v>
      </c>
      <c r="M28" s="74">
        <f t="shared" si="2"/>
        <v>0.52500000000000002</v>
      </c>
      <c r="N28" s="47">
        <v>44</v>
      </c>
      <c r="O28" s="74">
        <f t="shared" si="3"/>
        <v>0.73333333333333328</v>
      </c>
      <c r="P28" s="47">
        <v>26</v>
      </c>
      <c r="Q28" s="74">
        <f t="shared" si="4"/>
        <v>0.52</v>
      </c>
      <c r="R28" s="149">
        <f>(L28/40*20)+(N28/60*40)+(P28/50*40)</f>
        <v>60.633333333333326</v>
      </c>
      <c r="T28" s="46">
        <v>22</v>
      </c>
      <c r="U28" s="167">
        <f t="shared" si="5"/>
        <v>0.62857142857142856</v>
      </c>
      <c r="V28" s="131"/>
      <c r="W28" s="188">
        <v>34</v>
      </c>
      <c r="X28" s="168">
        <f t="shared" si="6"/>
        <v>0.85</v>
      </c>
      <c r="Y28" s="199">
        <f t="shared" si="7"/>
        <v>76.142857142857139</v>
      </c>
      <c r="AA28" s="25">
        <v>20</v>
      </c>
      <c r="AB28" s="63">
        <v>33</v>
      </c>
      <c r="AC28" s="202">
        <f t="shared" si="8"/>
        <v>0.58499999999999996</v>
      </c>
    </row>
    <row r="29" spans="1:29" ht="14.25" customHeight="1" x14ac:dyDescent="0.2">
      <c r="AA29" s="25"/>
    </row>
    <row r="30" spans="1:29" ht="14.25" customHeight="1" x14ac:dyDescent="0.2">
      <c r="AA30" s="25"/>
    </row>
    <row r="31" spans="1:29" ht="14.25" customHeight="1" x14ac:dyDescent="0.2">
      <c r="AA31" s="25"/>
    </row>
    <row r="32" spans="1:29" ht="14.25" customHeight="1" x14ac:dyDescent="0.2">
      <c r="AA32" s="25"/>
    </row>
    <row r="33" spans="27:27" ht="14.25" customHeight="1" x14ac:dyDescent="0.2">
      <c r="AA33" s="25"/>
    </row>
    <row r="34" spans="27:27" ht="14.25" customHeight="1" x14ac:dyDescent="0.2">
      <c r="AA34" s="25"/>
    </row>
    <row r="35" spans="27:27" ht="14.25" customHeight="1" x14ac:dyDescent="0.2">
      <c r="AA35" s="25"/>
    </row>
    <row r="36" spans="27:27" ht="14.25" customHeight="1" x14ac:dyDescent="0.2"/>
    <row r="37" spans="27:27" ht="14.25" customHeight="1" x14ac:dyDescent="0.2"/>
    <row r="38" spans="27:27" ht="14.25" customHeight="1" x14ac:dyDescent="0.2"/>
    <row r="39" spans="27:27" ht="14.25" customHeight="1" x14ac:dyDescent="0.2"/>
    <row r="40" spans="27:27" ht="14.25" customHeight="1" x14ac:dyDescent="0.2"/>
    <row r="41" spans="27:27" ht="14.25" customHeight="1" x14ac:dyDescent="0.2"/>
    <row r="42" spans="27:27" ht="14.25" customHeight="1" x14ac:dyDescent="0.2"/>
    <row r="43" spans="27:27" ht="14.25" customHeight="1" x14ac:dyDescent="0.2"/>
    <row r="44" spans="27:27" ht="14.25" customHeight="1" x14ac:dyDescent="0.2"/>
    <row r="45" spans="27:27" ht="14.25" customHeight="1" x14ac:dyDescent="0.2"/>
    <row r="46" spans="27:27" ht="14.25" customHeight="1" x14ac:dyDescent="0.2"/>
    <row r="47" spans="27:27" ht="14.25" customHeight="1" x14ac:dyDescent="0.2"/>
    <row r="48" spans="27:27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</sheetData>
  <sortState xmlns:xlrd2="http://schemas.microsoft.com/office/spreadsheetml/2017/richdata2" ref="B5:R28">
    <sortCondition ref="B5:B28"/>
  </sortState>
  <mergeCells count="6">
    <mergeCell ref="AA2:AC2"/>
    <mergeCell ref="D2:J2"/>
    <mergeCell ref="L2:R2"/>
    <mergeCell ref="T3:U3"/>
    <mergeCell ref="V3:X3"/>
    <mergeCell ref="T2:Y2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L947"/>
  <sheetViews>
    <sheetView workbookViewId="0">
      <selection activeCell="M14" sqref="M14"/>
    </sheetView>
  </sheetViews>
  <sheetFormatPr baseColWidth="10" defaultColWidth="14.5" defaultRowHeight="15" customHeight="1" x14ac:dyDescent="0.2"/>
  <cols>
    <col min="1" max="1" width="3.5" customWidth="1"/>
    <col min="2" max="2" width="19" customWidth="1"/>
    <col min="3" max="3" width="23.6640625" customWidth="1"/>
    <col min="8" max="11" width="10.6640625" customWidth="1"/>
  </cols>
  <sheetData>
    <row r="1" spans="1:12" ht="14.25" customHeight="1" thickBot="1" x14ac:dyDescent="0.25">
      <c r="A1" t="s">
        <v>549</v>
      </c>
      <c r="C1" s="1" t="s">
        <v>423</v>
      </c>
    </row>
    <row r="2" spans="1:12" ht="12.75" customHeight="1" thickBot="1" x14ac:dyDescent="0.25">
      <c r="A2" s="243" t="s">
        <v>550</v>
      </c>
      <c r="C2" s="1" t="s">
        <v>545</v>
      </c>
      <c r="D2" s="341" t="s">
        <v>543</v>
      </c>
      <c r="E2" s="342"/>
      <c r="F2" s="342"/>
      <c r="G2" s="343"/>
      <c r="I2" s="341" t="s">
        <v>547</v>
      </c>
      <c r="J2" s="343"/>
    </row>
    <row r="3" spans="1:12" ht="28.5" customHeight="1" thickBot="1" x14ac:dyDescent="0.25">
      <c r="C3" s="112" t="s">
        <v>546</v>
      </c>
      <c r="D3" s="123" t="s">
        <v>541</v>
      </c>
      <c r="E3" s="228" t="s">
        <v>463</v>
      </c>
      <c r="F3" s="229" t="s">
        <v>542</v>
      </c>
      <c r="G3" s="232" t="s">
        <v>463</v>
      </c>
      <c r="H3" s="39" t="s">
        <v>512</v>
      </c>
      <c r="I3" s="38" t="s">
        <v>548</v>
      </c>
      <c r="J3" s="242"/>
      <c r="K3" s="128"/>
      <c r="L3" s="128"/>
    </row>
    <row r="4" spans="1:12" ht="14.25" customHeight="1" x14ac:dyDescent="0.2">
      <c r="A4" s="2" t="s">
        <v>3</v>
      </c>
      <c r="B4" s="3" t="s">
        <v>4</v>
      </c>
      <c r="C4" s="22" t="s">
        <v>5</v>
      </c>
      <c r="D4" s="225"/>
      <c r="E4" s="226"/>
      <c r="F4" s="227"/>
      <c r="G4" s="233"/>
      <c r="H4" s="240"/>
      <c r="I4" s="54"/>
      <c r="J4" s="169"/>
    </row>
    <row r="5" spans="1:12" ht="14.25" customHeight="1" x14ac:dyDescent="0.2">
      <c r="A5" s="2">
        <v>1</v>
      </c>
      <c r="B5" s="27" t="s">
        <v>491</v>
      </c>
      <c r="C5" s="28" t="s">
        <v>492</v>
      </c>
      <c r="D5" s="222">
        <v>26</v>
      </c>
      <c r="E5" s="224">
        <f t="shared" ref="E5:E26" si="0">D5/50*100</f>
        <v>52</v>
      </c>
      <c r="F5" s="223">
        <v>24.5</v>
      </c>
      <c r="G5" s="234">
        <f t="shared" ref="G5:G27" si="1">F5/60</f>
        <v>0.40833333333333333</v>
      </c>
      <c r="H5" s="241">
        <f>(D5/50*30)+(F5/60*70)</f>
        <v>44.183333333333337</v>
      </c>
      <c r="I5" s="46">
        <v>32</v>
      </c>
      <c r="J5" s="169">
        <f t="shared" ref="J5:J19" si="2">I5/40</f>
        <v>0.8</v>
      </c>
    </row>
    <row r="6" spans="1:12" ht="14.25" customHeight="1" x14ac:dyDescent="0.2">
      <c r="A6" s="2">
        <v>2</v>
      </c>
      <c r="B6" s="71" t="s">
        <v>501</v>
      </c>
      <c r="C6" s="72" t="s">
        <v>329</v>
      </c>
      <c r="D6" s="222">
        <v>25</v>
      </c>
      <c r="E6" s="224">
        <f t="shared" si="0"/>
        <v>50</v>
      </c>
      <c r="F6" s="223">
        <v>44.5</v>
      </c>
      <c r="G6" s="234">
        <f t="shared" si="1"/>
        <v>0.7416666666666667</v>
      </c>
      <c r="H6" s="241">
        <f t="shared" ref="H6:H26" si="3">(D6/50*30)+(F6/60*70)</f>
        <v>66.916666666666671</v>
      </c>
      <c r="I6" s="46">
        <v>38</v>
      </c>
      <c r="J6" s="169">
        <f t="shared" si="2"/>
        <v>0.95</v>
      </c>
    </row>
    <row r="7" spans="1:12" ht="14.25" hidden="1" customHeight="1" x14ac:dyDescent="0.2">
      <c r="A7" s="2">
        <v>3</v>
      </c>
      <c r="B7" s="5" t="s">
        <v>307</v>
      </c>
      <c r="C7" s="23" t="s">
        <v>308</v>
      </c>
      <c r="D7" s="222"/>
      <c r="E7" s="224">
        <f t="shared" si="0"/>
        <v>0</v>
      </c>
      <c r="F7" s="223"/>
      <c r="G7" s="234">
        <f t="shared" si="1"/>
        <v>0</v>
      </c>
      <c r="H7" s="241">
        <f t="shared" si="3"/>
        <v>0</v>
      </c>
      <c r="I7" s="46"/>
      <c r="J7" s="169">
        <f t="shared" si="2"/>
        <v>0</v>
      </c>
    </row>
    <row r="8" spans="1:12" ht="14.25" hidden="1" customHeight="1" x14ac:dyDescent="0.2">
      <c r="A8" s="2">
        <v>4</v>
      </c>
      <c r="B8" s="160" t="s">
        <v>478</v>
      </c>
      <c r="C8" s="162" t="s">
        <v>509</v>
      </c>
      <c r="D8" s="222"/>
      <c r="E8" s="224">
        <f t="shared" si="0"/>
        <v>0</v>
      </c>
      <c r="F8" s="223"/>
      <c r="G8" s="234">
        <f t="shared" si="1"/>
        <v>0</v>
      </c>
      <c r="H8" s="241">
        <f t="shared" si="3"/>
        <v>0</v>
      </c>
      <c r="I8" s="46"/>
      <c r="J8" s="169">
        <f t="shared" si="2"/>
        <v>0</v>
      </c>
    </row>
    <row r="9" spans="1:12" ht="15" customHeight="1" x14ac:dyDescent="0.2">
      <c r="A9" s="2">
        <v>5</v>
      </c>
      <c r="B9" s="161" t="s">
        <v>281</v>
      </c>
      <c r="C9" s="163" t="s">
        <v>220</v>
      </c>
      <c r="D9" s="222">
        <v>30</v>
      </c>
      <c r="E9" s="224">
        <f t="shared" si="0"/>
        <v>60</v>
      </c>
      <c r="F9" s="223">
        <v>38.5</v>
      </c>
      <c r="G9" s="234">
        <f t="shared" si="1"/>
        <v>0.64166666666666672</v>
      </c>
      <c r="H9" s="241">
        <f t="shared" si="3"/>
        <v>62.916666666666671</v>
      </c>
      <c r="I9" s="46">
        <v>34</v>
      </c>
      <c r="J9" s="169">
        <f t="shared" si="2"/>
        <v>0.85</v>
      </c>
    </row>
    <row r="10" spans="1:12" ht="15" customHeight="1" x14ac:dyDescent="0.2">
      <c r="A10" s="2">
        <v>6</v>
      </c>
      <c r="B10" s="37" t="s">
        <v>526</v>
      </c>
      <c r="C10" s="163" t="s">
        <v>285</v>
      </c>
      <c r="D10" s="222">
        <v>40</v>
      </c>
      <c r="E10" s="224">
        <f t="shared" si="0"/>
        <v>80</v>
      </c>
      <c r="F10" s="223">
        <v>52</v>
      </c>
      <c r="G10" s="234">
        <f t="shared" si="1"/>
        <v>0.8666666666666667</v>
      </c>
      <c r="H10" s="241">
        <f t="shared" si="3"/>
        <v>84.666666666666671</v>
      </c>
      <c r="I10" s="46">
        <v>37</v>
      </c>
      <c r="J10" s="169">
        <f t="shared" si="2"/>
        <v>0.92500000000000004</v>
      </c>
    </row>
    <row r="11" spans="1:12" ht="14.25" customHeight="1" x14ac:dyDescent="0.2">
      <c r="A11" s="2">
        <v>7</v>
      </c>
      <c r="B11" s="27" t="s">
        <v>494</v>
      </c>
      <c r="C11" s="28" t="s">
        <v>495</v>
      </c>
      <c r="D11" s="222">
        <v>27</v>
      </c>
      <c r="E11" s="224">
        <f t="shared" si="0"/>
        <v>54</v>
      </c>
      <c r="F11" s="223">
        <v>23.5</v>
      </c>
      <c r="G11" s="234">
        <f t="shared" si="1"/>
        <v>0.39166666666666666</v>
      </c>
      <c r="H11" s="241">
        <f t="shared" si="3"/>
        <v>43.616666666666674</v>
      </c>
      <c r="I11" s="46">
        <v>20</v>
      </c>
      <c r="J11" s="169">
        <f t="shared" si="2"/>
        <v>0.5</v>
      </c>
    </row>
    <row r="12" spans="1:12" ht="14.25" customHeight="1" x14ac:dyDescent="0.2">
      <c r="A12" s="2">
        <v>8</v>
      </c>
      <c r="B12" s="27" t="s">
        <v>460</v>
      </c>
      <c r="C12" s="28" t="s">
        <v>500</v>
      </c>
      <c r="D12" s="222">
        <v>23</v>
      </c>
      <c r="E12" s="224">
        <f t="shared" si="0"/>
        <v>46</v>
      </c>
      <c r="F12" s="223">
        <v>38</v>
      </c>
      <c r="G12" s="234">
        <f t="shared" si="1"/>
        <v>0.6333333333333333</v>
      </c>
      <c r="H12" s="241">
        <f t="shared" si="3"/>
        <v>58.133333333333326</v>
      </c>
      <c r="I12" s="46">
        <v>11</v>
      </c>
      <c r="J12" s="169">
        <f t="shared" si="2"/>
        <v>0.27500000000000002</v>
      </c>
    </row>
    <row r="13" spans="1:12" ht="14.25" customHeight="1" x14ac:dyDescent="0.2">
      <c r="A13" s="2">
        <v>9</v>
      </c>
      <c r="B13" s="27" t="s">
        <v>309</v>
      </c>
      <c r="C13" s="28" t="s">
        <v>488</v>
      </c>
      <c r="D13" s="222">
        <v>33</v>
      </c>
      <c r="E13" s="224">
        <f t="shared" si="0"/>
        <v>66</v>
      </c>
      <c r="F13" s="223">
        <v>47.5</v>
      </c>
      <c r="G13" s="234">
        <f t="shared" si="1"/>
        <v>0.79166666666666663</v>
      </c>
      <c r="H13" s="241">
        <f t="shared" si="3"/>
        <v>75.216666666666669</v>
      </c>
      <c r="I13" s="46">
        <v>36</v>
      </c>
      <c r="J13" s="169">
        <f t="shared" si="2"/>
        <v>0.9</v>
      </c>
    </row>
    <row r="14" spans="1:12" ht="14.25" customHeight="1" x14ac:dyDescent="0.2">
      <c r="A14" s="2">
        <v>10</v>
      </c>
      <c r="B14" s="5" t="s">
        <v>312</v>
      </c>
      <c r="C14" s="23" t="s">
        <v>313</v>
      </c>
      <c r="D14" s="222">
        <v>27</v>
      </c>
      <c r="E14" s="224">
        <f t="shared" si="0"/>
        <v>54</v>
      </c>
      <c r="F14" s="223">
        <v>44</v>
      </c>
      <c r="G14" s="234">
        <f t="shared" si="1"/>
        <v>0.73333333333333328</v>
      </c>
      <c r="H14" s="241">
        <f t="shared" si="3"/>
        <v>67.533333333333331</v>
      </c>
      <c r="I14" s="46">
        <v>32</v>
      </c>
      <c r="J14" s="169">
        <f t="shared" si="2"/>
        <v>0.8</v>
      </c>
    </row>
    <row r="15" spans="1:12" ht="14.25" customHeight="1" x14ac:dyDescent="0.2">
      <c r="A15" s="2">
        <v>11</v>
      </c>
      <c r="B15" s="27" t="s">
        <v>455</v>
      </c>
      <c r="C15" s="28" t="s">
        <v>482</v>
      </c>
      <c r="D15" s="222">
        <v>30</v>
      </c>
      <c r="E15" s="224">
        <f t="shared" si="0"/>
        <v>60</v>
      </c>
      <c r="F15" s="223">
        <v>48</v>
      </c>
      <c r="G15" s="234">
        <f t="shared" si="1"/>
        <v>0.8</v>
      </c>
      <c r="H15" s="241">
        <f t="shared" si="3"/>
        <v>74</v>
      </c>
      <c r="I15" s="175"/>
      <c r="J15" s="220"/>
    </row>
    <row r="16" spans="1:12" ht="14.25" customHeight="1" x14ac:dyDescent="0.2">
      <c r="A16" s="2">
        <v>13</v>
      </c>
      <c r="B16" s="27" t="s">
        <v>259</v>
      </c>
      <c r="C16" s="28" t="s">
        <v>493</v>
      </c>
      <c r="D16" s="222">
        <v>26</v>
      </c>
      <c r="E16" s="224">
        <f t="shared" si="0"/>
        <v>52</v>
      </c>
      <c r="F16" s="223">
        <v>38</v>
      </c>
      <c r="G16" s="234">
        <f t="shared" si="1"/>
        <v>0.6333333333333333</v>
      </c>
      <c r="H16" s="241">
        <f t="shared" si="3"/>
        <v>59.93333333333333</v>
      </c>
      <c r="I16" s="46">
        <v>18</v>
      </c>
      <c r="J16" s="169">
        <f t="shared" si="2"/>
        <v>0.45</v>
      </c>
    </row>
    <row r="17" spans="1:10" ht="14.25" hidden="1" customHeight="1" x14ac:dyDescent="0.2">
      <c r="A17" s="2">
        <v>14</v>
      </c>
      <c r="B17" s="5" t="s">
        <v>317</v>
      </c>
      <c r="C17" s="23" t="s">
        <v>318</v>
      </c>
      <c r="D17" s="222"/>
      <c r="E17" s="224">
        <f t="shared" si="0"/>
        <v>0</v>
      </c>
      <c r="F17" s="223"/>
      <c r="G17" s="234">
        <f t="shared" si="1"/>
        <v>0</v>
      </c>
      <c r="H17" s="241">
        <f t="shared" si="3"/>
        <v>0</v>
      </c>
      <c r="I17" s="46"/>
      <c r="J17" s="169">
        <f t="shared" si="2"/>
        <v>0</v>
      </c>
    </row>
    <row r="18" spans="1:10" ht="14.25" customHeight="1" x14ac:dyDescent="0.2">
      <c r="A18" s="2">
        <v>15</v>
      </c>
      <c r="B18" s="27" t="s">
        <v>298</v>
      </c>
      <c r="C18" s="28" t="s">
        <v>499</v>
      </c>
      <c r="D18" s="222">
        <v>28</v>
      </c>
      <c r="E18" s="224">
        <f t="shared" si="0"/>
        <v>56.000000000000007</v>
      </c>
      <c r="F18" s="223">
        <v>37</v>
      </c>
      <c r="G18" s="234">
        <f t="shared" si="1"/>
        <v>0.6166666666666667</v>
      </c>
      <c r="H18" s="241">
        <f t="shared" si="3"/>
        <v>59.966666666666669</v>
      </c>
      <c r="I18" s="46">
        <v>38</v>
      </c>
      <c r="J18" s="169">
        <f t="shared" si="2"/>
        <v>0.95</v>
      </c>
    </row>
    <row r="19" spans="1:10" ht="14.25" customHeight="1" x14ac:dyDescent="0.2">
      <c r="A19" s="2">
        <v>16</v>
      </c>
      <c r="B19" s="27" t="s">
        <v>299</v>
      </c>
      <c r="C19" s="28" t="s">
        <v>300</v>
      </c>
      <c r="D19" s="222">
        <v>21</v>
      </c>
      <c r="E19" s="224">
        <f t="shared" si="0"/>
        <v>42</v>
      </c>
      <c r="F19" s="223">
        <v>45</v>
      </c>
      <c r="G19" s="234">
        <f t="shared" si="1"/>
        <v>0.75</v>
      </c>
      <c r="H19" s="241">
        <f t="shared" si="3"/>
        <v>65.099999999999994</v>
      </c>
      <c r="I19" s="46">
        <v>37</v>
      </c>
      <c r="J19" s="169">
        <f t="shared" si="2"/>
        <v>0.92500000000000004</v>
      </c>
    </row>
    <row r="20" spans="1:10" ht="14.25" customHeight="1" x14ac:dyDescent="0.2">
      <c r="A20" s="2">
        <v>17</v>
      </c>
      <c r="B20" s="5" t="s">
        <v>139</v>
      </c>
      <c r="C20" s="23" t="s">
        <v>510</v>
      </c>
      <c r="D20" s="222">
        <v>30</v>
      </c>
      <c r="E20" s="224">
        <f t="shared" si="0"/>
        <v>60</v>
      </c>
      <c r="F20" s="223">
        <v>48</v>
      </c>
      <c r="G20" s="234">
        <f t="shared" si="1"/>
        <v>0.8</v>
      </c>
      <c r="H20" s="241">
        <f t="shared" si="3"/>
        <v>74</v>
      </c>
      <c r="I20" s="46">
        <v>30</v>
      </c>
      <c r="J20" s="169">
        <f>I20/40</f>
        <v>0.75</v>
      </c>
    </row>
    <row r="21" spans="1:10" ht="14.25" customHeight="1" x14ac:dyDescent="0.2">
      <c r="A21" s="2">
        <v>18</v>
      </c>
      <c r="B21" s="5" t="s">
        <v>321</v>
      </c>
      <c r="C21" s="23" t="s">
        <v>62</v>
      </c>
      <c r="D21" s="222">
        <v>41</v>
      </c>
      <c r="E21" s="224">
        <f t="shared" si="0"/>
        <v>82</v>
      </c>
      <c r="F21" s="223">
        <v>50</v>
      </c>
      <c r="G21" s="234">
        <f t="shared" si="1"/>
        <v>0.83333333333333337</v>
      </c>
      <c r="H21" s="241">
        <f t="shared" si="3"/>
        <v>82.933333333333337</v>
      </c>
      <c r="I21" s="46">
        <v>24</v>
      </c>
      <c r="J21" s="169">
        <f t="shared" ref="J21:J27" si="4">I21/40</f>
        <v>0.6</v>
      </c>
    </row>
    <row r="22" spans="1:10" ht="14.25" customHeight="1" x14ac:dyDescent="0.2">
      <c r="A22" s="2">
        <v>19</v>
      </c>
      <c r="B22" s="27" t="s">
        <v>324</v>
      </c>
      <c r="C22" s="28" t="s">
        <v>496</v>
      </c>
      <c r="D22" s="222">
        <v>22</v>
      </c>
      <c r="E22" s="224">
        <f t="shared" si="0"/>
        <v>44</v>
      </c>
      <c r="F22" s="223">
        <v>36.5</v>
      </c>
      <c r="G22" s="234">
        <f t="shared" si="1"/>
        <v>0.60833333333333328</v>
      </c>
      <c r="H22" s="241">
        <f t="shared" si="3"/>
        <v>55.783333333333331</v>
      </c>
      <c r="I22" s="46">
        <v>38</v>
      </c>
      <c r="J22" s="169">
        <f t="shared" si="4"/>
        <v>0.95</v>
      </c>
    </row>
    <row r="23" spans="1:10" ht="14.25" hidden="1" customHeight="1" x14ac:dyDescent="0.2">
      <c r="A23" s="2">
        <v>20</v>
      </c>
      <c r="B23" s="5" t="s">
        <v>324</v>
      </c>
      <c r="C23" s="28" t="s">
        <v>335</v>
      </c>
      <c r="D23" s="222"/>
      <c r="E23" s="224">
        <f t="shared" si="0"/>
        <v>0</v>
      </c>
      <c r="F23" s="223"/>
      <c r="G23" s="234">
        <f t="shared" si="1"/>
        <v>0</v>
      </c>
      <c r="H23" s="241">
        <f t="shared" si="3"/>
        <v>0</v>
      </c>
      <c r="I23" s="46"/>
      <c r="J23" s="169">
        <f t="shared" si="4"/>
        <v>0</v>
      </c>
    </row>
    <row r="24" spans="1:10" ht="14.25" customHeight="1" x14ac:dyDescent="0.2">
      <c r="A24" s="2">
        <v>21</v>
      </c>
      <c r="B24" s="5" t="s">
        <v>304</v>
      </c>
      <c r="C24" s="28" t="s">
        <v>279</v>
      </c>
      <c r="D24" s="222">
        <v>25</v>
      </c>
      <c r="E24" s="224">
        <f t="shared" si="0"/>
        <v>50</v>
      </c>
      <c r="F24" s="223">
        <v>29.5</v>
      </c>
      <c r="G24" s="234">
        <f t="shared" si="1"/>
        <v>0.49166666666666664</v>
      </c>
      <c r="H24" s="241">
        <f t="shared" si="3"/>
        <v>49.416666666666664</v>
      </c>
      <c r="I24" s="46">
        <v>35</v>
      </c>
      <c r="J24" s="169">
        <f t="shared" si="4"/>
        <v>0.875</v>
      </c>
    </row>
    <row r="25" spans="1:10" ht="14.25" customHeight="1" x14ac:dyDescent="0.2">
      <c r="A25" s="2">
        <v>22</v>
      </c>
      <c r="B25" s="27" t="s">
        <v>481</v>
      </c>
      <c r="C25" s="28" t="s">
        <v>272</v>
      </c>
      <c r="D25" s="222">
        <v>19</v>
      </c>
      <c r="E25" s="224">
        <f t="shared" si="0"/>
        <v>38</v>
      </c>
      <c r="F25" s="223">
        <v>36.5</v>
      </c>
      <c r="G25" s="234">
        <f t="shared" si="1"/>
        <v>0.60833333333333328</v>
      </c>
      <c r="H25" s="241">
        <f t="shared" si="3"/>
        <v>53.983333333333327</v>
      </c>
      <c r="I25" s="46">
        <v>30</v>
      </c>
      <c r="J25" s="169">
        <f t="shared" si="4"/>
        <v>0.75</v>
      </c>
    </row>
    <row r="26" spans="1:10" ht="14.25" customHeight="1" x14ac:dyDescent="0.2">
      <c r="A26" s="2">
        <v>23</v>
      </c>
      <c r="B26" s="5" t="s">
        <v>525</v>
      </c>
      <c r="C26" s="28" t="s">
        <v>294</v>
      </c>
      <c r="D26" s="222">
        <v>26</v>
      </c>
      <c r="E26" s="224">
        <f t="shared" si="0"/>
        <v>52</v>
      </c>
      <c r="F26" s="223">
        <v>31.5</v>
      </c>
      <c r="G26" s="234">
        <f t="shared" si="1"/>
        <v>0.52500000000000002</v>
      </c>
      <c r="H26" s="241">
        <f t="shared" si="3"/>
        <v>52.35</v>
      </c>
      <c r="I26" s="46">
        <v>18</v>
      </c>
      <c r="J26" s="169">
        <f t="shared" si="4"/>
        <v>0.45</v>
      </c>
    </row>
    <row r="27" spans="1:10" ht="14.25" customHeight="1" thickBot="1" x14ac:dyDescent="0.25">
      <c r="A27" s="2">
        <v>25</v>
      </c>
      <c r="B27" s="206" t="s">
        <v>490</v>
      </c>
      <c r="C27" s="207" t="s">
        <v>489</v>
      </c>
      <c r="D27" s="230" t="s">
        <v>544</v>
      </c>
      <c r="E27" s="231"/>
      <c r="F27" s="223">
        <v>40</v>
      </c>
      <c r="G27" s="234">
        <f t="shared" si="1"/>
        <v>0.66666666666666663</v>
      </c>
      <c r="H27" s="234">
        <f>G27</f>
        <v>0.66666666666666663</v>
      </c>
      <c r="I27" s="47">
        <v>30</v>
      </c>
      <c r="J27" s="169">
        <f t="shared" si="4"/>
        <v>0.75</v>
      </c>
    </row>
    <row r="28" spans="1:10" ht="14.25" customHeight="1" x14ac:dyDescent="0.2"/>
    <row r="29" spans="1:10" ht="14.25" customHeight="1" x14ac:dyDescent="0.2"/>
    <row r="30" spans="1:10" ht="14.25" customHeight="1" x14ac:dyDescent="0.2"/>
    <row r="31" spans="1:10" ht="14.25" customHeight="1" x14ac:dyDescent="0.2"/>
    <row r="32" spans="1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</sheetData>
  <sortState xmlns:xlrd2="http://schemas.microsoft.com/office/spreadsheetml/2017/richdata2" ref="B5:C27">
    <sortCondition ref="B5:B27"/>
  </sortState>
  <mergeCells count="2">
    <mergeCell ref="D2:G2"/>
    <mergeCell ref="I2:J2"/>
  </mergeCells>
  <pageMargins left="0.7" right="0.7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F992"/>
  <sheetViews>
    <sheetView topLeftCell="A12" workbookViewId="0">
      <selection activeCell="A20" activeCellId="4" sqref="A5:XFD7 A11:XFD11 A12:XFD12 A14:XFD14 A20:XFD23"/>
    </sheetView>
  </sheetViews>
  <sheetFormatPr baseColWidth="10" defaultColWidth="14.5" defaultRowHeight="15" customHeight="1" x14ac:dyDescent="0.2"/>
  <cols>
    <col min="1" max="1" width="3.5" customWidth="1"/>
    <col min="2" max="2" width="12.83203125" customWidth="1"/>
    <col min="3" max="3" width="24.33203125" customWidth="1"/>
    <col min="4" max="4" width="8.1640625" customWidth="1"/>
    <col min="5" max="5" width="16" customWidth="1"/>
    <col min="6" max="6" width="16.1640625" customWidth="1"/>
    <col min="7" max="23" width="8.6640625" customWidth="1"/>
  </cols>
  <sheetData>
    <row r="1" spans="1:6" ht="14.25" customHeight="1" x14ac:dyDescent="0.2">
      <c r="C1" s="1" t="s">
        <v>0</v>
      </c>
    </row>
    <row r="2" spans="1:6" ht="14.25" customHeight="1" x14ac:dyDescent="0.2">
      <c r="C2" s="1" t="s">
        <v>332</v>
      </c>
    </row>
    <row r="3" spans="1:6" ht="14.25" customHeight="1" x14ac:dyDescent="0.2">
      <c r="C3" s="1" t="s">
        <v>333</v>
      </c>
    </row>
    <row r="4" spans="1:6" ht="12" customHeight="1" x14ac:dyDescent="0.2"/>
    <row r="5" spans="1:6" ht="14.25" customHeight="1" x14ac:dyDescent="0.2">
      <c r="A5" s="2" t="s">
        <v>3</v>
      </c>
      <c r="B5" s="3" t="s">
        <v>4</v>
      </c>
      <c r="C5" s="3" t="s">
        <v>5</v>
      </c>
      <c r="D5" s="2" t="s">
        <v>6</v>
      </c>
      <c r="E5" s="2" t="s">
        <v>48</v>
      </c>
      <c r="F5" s="2" t="s">
        <v>48</v>
      </c>
    </row>
    <row r="6" spans="1:6" ht="14.25" customHeight="1" x14ac:dyDescent="0.2">
      <c r="A6" s="4">
        <v>1</v>
      </c>
      <c r="B6" s="5" t="s">
        <v>334</v>
      </c>
      <c r="C6" s="5" t="s">
        <v>335</v>
      </c>
      <c r="D6" s="6" t="s">
        <v>9</v>
      </c>
      <c r="E6" s="7">
        <v>843990000</v>
      </c>
      <c r="F6" s="5">
        <v>842309501</v>
      </c>
    </row>
    <row r="7" spans="1:6" ht="14.25" customHeight="1" x14ac:dyDescent="0.2">
      <c r="A7" s="4">
        <v>2</v>
      </c>
      <c r="B7" s="5" t="s">
        <v>57</v>
      </c>
      <c r="C7" s="5" t="s">
        <v>336</v>
      </c>
      <c r="D7" s="6" t="s">
        <v>31</v>
      </c>
      <c r="E7" s="7">
        <v>844087560</v>
      </c>
      <c r="F7" s="5">
        <v>824855890</v>
      </c>
    </row>
    <row r="8" spans="1:6" ht="14.25" customHeight="1" x14ac:dyDescent="0.2">
      <c r="A8" s="4">
        <v>3</v>
      </c>
      <c r="B8" s="5" t="s">
        <v>337</v>
      </c>
      <c r="C8" s="213" t="s">
        <v>316</v>
      </c>
      <c r="D8" s="6" t="s">
        <v>31</v>
      </c>
      <c r="E8" s="7">
        <v>820649624</v>
      </c>
      <c r="F8" s="5">
        <v>843981292</v>
      </c>
    </row>
    <row r="9" spans="1:6" ht="14.25" customHeight="1" x14ac:dyDescent="0.2">
      <c r="A9" s="4">
        <v>4</v>
      </c>
      <c r="B9" s="5" t="s">
        <v>338</v>
      </c>
      <c r="C9" s="213" t="s">
        <v>339</v>
      </c>
      <c r="D9" s="6" t="s">
        <v>9</v>
      </c>
      <c r="E9" s="7">
        <v>828778250</v>
      </c>
      <c r="F9" s="5">
        <v>824473320</v>
      </c>
    </row>
    <row r="10" spans="1:6" ht="14.25" customHeight="1" x14ac:dyDescent="0.2">
      <c r="A10" s="4">
        <v>5</v>
      </c>
      <c r="B10" s="5" t="s">
        <v>340</v>
      </c>
      <c r="C10" s="213" t="s">
        <v>341</v>
      </c>
      <c r="D10" s="6" t="s">
        <v>31</v>
      </c>
      <c r="E10" s="7">
        <v>842701993</v>
      </c>
      <c r="F10" s="5">
        <v>820814845</v>
      </c>
    </row>
    <row r="11" spans="1:6" ht="14.25" customHeight="1" x14ac:dyDescent="0.2">
      <c r="A11" s="4">
        <v>6</v>
      </c>
      <c r="B11" s="5" t="s">
        <v>342</v>
      </c>
      <c r="C11" s="5" t="s">
        <v>343</v>
      </c>
      <c r="D11" s="6" t="s">
        <v>31</v>
      </c>
      <c r="E11" s="7" t="s">
        <v>344</v>
      </c>
      <c r="F11" s="5">
        <v>822710438</v>
      </c>
    </row>
    <row r="12" spans="1:6" ht="14.25" customHeight="1" x14ac:dyDescent="0.2">
      <c r="A12" s="4">
        <v>7</v>
      </c>
      <c r="B12" s="5" t="s">
        <v>345</v>
      </c>
      <c r="C12" s="5" t="s">
        <v>346</v>
      </c>
      <c r="D12" s="6" t="s">
        <v>31</v>
      </c>
      <c r="E12" s="7">
        <v>846136012</v>
      </c>
      <c r="F12" s="5">
        <v>845100513</v>
      </c>
    </row>
    <row r="13" spans="1:6" ht="14.25" customHeight="1" x14ac:dyDescent="0.2">
      <c r="A13" s="4">
        <v>8</v>
      </c>
      <c r="B13" s="5" t="s">
        <v>209</v>
      </c>
      <c r="C13" s="213" t="s">
        <v>347</v>
      </c>
      <c r="D13" s="6" t="s">
        <v>31</v>
      </c>
      <c r="E13" s="7">
        <v>843919190</v>
      </c>
      <c r="F13" s="5">
        <v>845970616</v>
      </c>
    </row>
    <row r="14" spans="1:6" ht="14.25" customHeight="1" x14ac:dyDescent="0.2">
      <c r="A14" s="4">
        <v>9</v>
      </c>
      <c r="B14" s="5" t="s">
        <v>348</v>
      </c>
      <c r="C14" s="5" t="s">
        <v>349</v>
      </c>
      <c r="D14" s="6" t="s">
        <v>9</v>
      </c>
      <c r="E14" s="7">
        <v>843070270</v>
      </c>
      <c r="F14" s="5">
        <v>823158220</v>
      </c>
    </row>
    <row r="15" spans="1:6" ht="14.25" customHeight="1" x14ac:dyDescent="0.2">
      <c r="A15" s="4">
        <v>10</v>
      </c>
      <c r="B15" s="5" t="s">
        <v>350</v>
      </c>
      <c r="C15" s="213" t="s">
        <v>351</v>
      </c>
      <c r="D15" s="6" t="s">
        <v>31</v>
      </c>
      <c r="E15" s="7" t="s">
        <v>352</v>
      </c>
      <c r="F15" s="5">
        <v>826042001</v>
      </c>
    </row>
    <row r="16" spans="1:6" ht="14.25" customHeight="1" x14ac:dyDescent="0.2">
      <c r="A16" s="4">
        <v>11</v>
      </c>
      <c r="B16" s="5" t="s">
        <v>353</v>
      </c>
      <c r="C16" s="213" t="s">
        <v>354</v>
      </c>
      <c r="D16" s="6" t="s">
        <v>9</v>
      </c>
      <c r="E16" s="7">
        <v>845761534</v>
      </c>
      <c r="F16" s="5">
        <v>823031265</v>
      </c>
    </row>
    <row r="17" spans="1:6" ht="14.25" customHeight="1" x14ac:dyDescent="0.2">
      <c r="A17" s="4">
        <v>12</v>
      </c>
      <c r="B17" s="5" t="s">
        <v>292</v>
      </c>
      <c r="C17" s="213" t="s">
        <v>355</v>
      </c>
      <c r="D17" s="6" t="s">
        <v>31</v>
      </c>
      <c r="E17" s="7">
        <v>843137720</v>
      </c>
      <c r="F17" s="5">
        <v>845078872</v>
      </c>
    </row>
    <row r="18" spans="1:6" ht="14.25" customHeight="1" x14ac:dyDescent="0.2">
      <c r="A18" s="4">
        <v>13</v>
      </c>
      <c r="B18" s="5" t="s">
        <v>356</v>
      </c>
      <c r="C18" s="213" t="s">
        <v>357</v>
      </c>
      <c r="D18" s="6" t="s">
        <v>31</v>
      </c>
      <c r="E18" s="7">
        <v>841847368</v>
      </c>
      <c r="F18" s="5">
        <v>840241721</v>
      </c>
    </row>
    <row r="19" spans="1:6" ht="14.25" customHeight="1" x14ac:dyDescent="0.2">
      <c r="A19" s="4">
        <v>14</v>
      </c>
      <c r="B19" s="5" t="s">
        <v>358</v>
      </c>
      <c r="C19" s="213" t="s">
        <v>359</v>
      </c>
      <c r="D19" s="6" t="s">
        <v>31</v>
      </c>
      <c r="E19" s="7" t="s">
        <v>360</v>
      </c>
      <c r="F19" s="5">
        <v>823863842</v>
      </c>
    </row>
    <row r="20" spans="1:6" ht="14.25" customHeight="1" x14ac:dyDescent="0.2">
      <c r="A20" s="4">
        <v>15</v>
      </c>
      <c r="B20" s="5" t="s">
        <v>184</v>
      </c>
      <c r="C20" s="5" t="s">
        <v>361</v>
      </c>
      <c r="D20" s="6" t="s">
        <v>9</v>
      </c>
      <c r="E20" s="7">
        <v>844697720</v>
      </c>
      <c r="F20" s="5"/>
    </row>
    <row r="21" spans="1:6" ht="14.25" customHeight="1" x14ac:dyDescent="0.2">
      <c r="A21" s="4">
        <v>16</v>
      </c>
      <c r="B21" s="5" t="s">
        <v>27</v>
      </c>
      <c r="C21" s="5" t="s">
        <v>362</v>
      </c>
      <c r="D21" s="6" t="s">
        <v>31</v>
      </c>
      <c r="E21" s="7">
        <v>848282727</v>
      </c>
      <c r="F21" s="5">
        <v>847686779</v>
      </c>
    </row>
    <row r="22" spans="1:6" ht="14.25" customHeight="1" x14ac:dyDescent="0.2">
      <c r="A22" s="4">
        <v>17</v>
      </c>
      <c r="B22" s="5" t="s">
        <v>363</v>
      </c>
      <c r="C22" s="5" t="s">
        <v>364</v>
      </c>
      <c r="D22" s="6" t="s">
        <v>31</v>
      </c>
      <c r="E22" s="7">
        <v>843984388</v>
      </c>
      <c r="F22" s="5">
        <v>873042551</v>
      </c>
    </row>
    <row r="23" spans="1:6" ht="14.25" customHeight="1" x14ac:dyDescent="0.2">
      <c r="A23" s="4">
        <v>18</v>
      </c>
      <c r="B23" s="5" t="s">
        <v>365</v>
      </c>
      <c r="C23" s="5" t="s">
        <v>366</v>
      </c>
      <c r="D23" s="6" t="s">
        <v>9</v>
      </c>
      <c r="E23" s="7">
        <v>843913500</v>
      </c>
      <c r="F23" s="5">
        <v>847720720</v>
      </c>
    </row>
    <row r="24" spans="1:6" ht="14.25" customHeight="1" x14ac:dyDescent="0.2">
      <c r="A24" s="4">
        <v>19</v>
      </c>
      <c r="B24" s="5" t="s">
        <v>367</v>
      </c>
      <c r="C24" s="213" t="s">
        <v>368</v>
      </c>
      <c r="D24" s="6" t="s">
        <v>31</v>
      </c>
      <c r="E24" s="7">
        <v>843062894</v>
      </c>
      <c r="F24" s="5">
        <v>824914300</v>
      </c>
    </row>
    <row r="25" spans="1:6" ht="14.25" customHeight="1" x14ac:dyDescent="0.2">
      <c r="A25" s="4">
        <v>20</v>
      </c>
      <c r="B25" s="5" t="s">
        <v>369</v>
      </c>
      <c r="C25" s="213" t="s">
        <v>370</v>
      </c>
      <c r="D25" s="6" t="s">
        <v>31</v>
      </c>
      <c r="E25" s="7"/>
      <c r="F25" s="5"/>
    </row>
    <row r="26" spans="1:6" ht="14.25" customHeight="1" x14ac:dyDescent="0.2">
      <c r="A26" s="4">
        <v>21</v>
      </c>
      <c r="B26" s="5" t="s">
        <v>371</v>
      </c>
      <c r="C26" s="213" t="s">
        <v>372</v>
      </c>
      <c r="D26" s="6" t="s">
        <v>31</v>
      </c>
      <c r="E26" s="7">
        <v>843400073</v>
      </c>
      <c r="F26" s="5"/>
    </row>
    <row r="27" spans="1:6" ht="14.25" customHeight="1" x14ac:dyDescent="0.2">
      <c r="A27" s="4">
        <v>22</v>
      </c>
      <c r="B27" s="5" t="s">
        <v>373</v>
      </c>
      <c r="C27" s="213" t="s">
        <v>374</v>
      </c>
      <c r="D27" s="6" t="s">
        <v>31</v>
      </c>
      <c r="E27" s="7">
        <v>845109932</v>
      </c>
      <c r="F27" s="5">
        <v>823070370</v>
      </c>
    </row>
    <row r="28" spans="1:6" ht="14.25" customHeight="1" x14ac:dyDescent="0.2">
      <c r="A28" s="4">
        <v>23</v>
      </c>
      <c r="B28" s="5" t="s">
        <v>375</v>
      </c>
      <c r="C28" s="213" t="s">
        <v>376</v>
      </c>
      <c r="D28" s="6" t="s">
        <v>31</v>
      </c>
      <c r="E28" s="7">
        <v>843586630</v>
      </c>
      <c r="F28" s="5">
        <v>845101177</v>
      </c>
    </row>
    <row r="29" spans="1:6" ht="14.25" customHeight="1" x14ac:dyDescent="0.2">
      <c r="A29" s="4">
        <v>24</v>
      </c>
      <c r="B29" s="5" t="s">
        <v>201</v>
      </c>
      <c r="C29" s="213" t="s">
        <v>377</v>
      </c>
      <c r="D29" s="6" t="s">
        <v>31</v>
      </c>
      <c r="E29" s="7">
        <v>828247660</v>
      </c>
      <c r="F29" s="5">
        <v>848412271</v>
      </c>
    </row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</sheetData>
  <autoFilter ref="A5:G30" xr:uid="{00000000-0009-0000-0000-000009000000}"/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992"/>
  <sheetViews>
    <sheetView workbookViewId="0">
      <selection activeCell="A23" activeCellId="1" sqref="A11:XFD13 A23:XFD23"/>
    </sheetView>
  </sheetViews>
  <sheetFormatPr baseColWidth="10" defaultColWidth="14.5" defaultRowHeight="15" customHeight="1" x14ac:dyDescent="0.2"/>
  <cols>
    <col min="1" max="1" width="3.5" customWidth="1"/>
    <col min="2" max="2" width="14.6640625" customWidth="1"/>
    <col min="3" max="3" width="21.6640625" customWidth="1"/>
    <col min="4" max="4" width="8.1640625" customWidth="1"/>
    <col min="5" max="6" width="14.5" customWidth="1"/>
    <col min="7" max="26" width="8.6640625" customWidth="1"/>
  </cols>
  <sheetData>
    <row r="1" spans="1:6" ht="14.25" customHeight="1" x14ac:dyDescent="0.2">
      <c r="C1" s="1" t="s">
        <v>0</v>
      </c>
    </row>
    <row r="2" spans="1:6" ht="14.25" customHeight="1" x14ac:dyDescent="0.2">
      <c r="C2" s="1" t="s">
        <v>378</v>
      </c>
    </row>
    <row r="3" spans="1:6" ht="14.25" customHeight="1" x14ac:dyDescent="0.2">
      <c r="C3" s="1" t="s">
        <v>379</v>
      </c>
    </row>
    <row r="4" spans="1:6" ht="14.25" customHeight="1" x14ac:dyDescent="0.2"/>
    <row r="5" spans="1:6" ht="14.25" customHeight="1" x14ac:dyDescent="0.2">
      <c r="A5" s="2" t="s">
        <v>3</v>
      </c>
      <c r="B5" s="3" t="s">
        <v>4</v>
      </c>
      <c r="C5" s="3" t="s">
        <v>5</v>
      </c>
      <c r="D5" s="2" t="s">
        <v>6</v>
      </c>
      <c r="E5" s="2" t="s">
        <v>48</v>
      </c>
      <c r="F5" s="2" t="s">
        <v>48</v>
      </c>
    </row>
    <row r="6" spans="1:6" ht="14.25" customHeight="1" x14ac:dyDescent="0.2">
      <c r="A6" s="4">
        <v>1</v>
      </c>
      <c r="B6" s="5" t="s">
        <v>380</v>
      </c>
      <c r="C6" s="213" t="s">
        <v>381</v>
      </c>
      <c r="D6" s="6" t="s">
        <v>31</v>
      </c>
      <c r="E6" s="7">
        <v>870973570</v>
      </c>
      <c r="F6" s="5"/>
    </row>
    <row r="7" spans="1:6" ht="14.25" customHeight="1" x14ac:dyDescent="0.2">
      <c r="A7" s="4">
        <v>2</v>
      </c>
      <c r="B7" s="5" t="s">
        <v>382</v>
      </c>
      <c r="C7" s="213" t="s">
        <v>383</v>
      </c>
      <c r="D7" s="6" t="s">
        <v>9</v>
      </c>
      <c r="E7" s="7">
        <v>84217531</v>
      </c>
      <c r="F7" s="5">
        <v>846845708</v>
      </c>
    </row>
    <row r="8" spans="1:6" ht="14.25" customHeight="1" x14ac:dyDescent="0.2">
      <c r="A8" s="4">
        <v>3</v>
      </c>
      <c r="B8" s="5" t="s">
        <v>384</v>
      </c>
      <c r="C8" s="213" t="s">
        <v>385</v>
      </c>
      <c r="D8" s="6" t="s">
        <v>9</v>
      </c>
      <c r="E8" s="7">
        <v>820529607</v>
      </c>
      <c r="F8" s="5">
        <v>843000077</v>
      </c>
    </row>
    <row r="9" spans="1:6" ht="14.25" customHeight="1" x14ac:dyDescent="0.2">
      <c r="A9" s="4">
        <v>4</v>
      </c>
      <c r="B9" s="5" t="s">
        <v>386</v>
      </c>
      <c r="C9" s="213" t="s">
        <v>387</v>
      </c>
      <c r="D9" s="6" t="s">
        <v>31</v>
      </c>
      <c r="E9" s="7">
        <v>843176060</v>
      </c>
      <c r="F9" s="5">
        <v>843176065</v>
      </c>
    </row>
    <row r="10" spans="1:6" ht="14.25" customHeight="1" x14ac:dyDescent="0.2">
      <c r="A10" s="4">
        <v>5</v>
      </c>
      <c r="B10" s="5" t="s">
        <v>96</v>
      </c>
      <c r="C10" s="213" t="s">
        <v>388</v>
      </c>
      <c r="D10" s="6" t="s">
        <v>9</v>
      </c>
      <c r="E10" s="7" t="s">
        <v>389</v>
      </c>
      <c r="F10" s="5"/>
    </row>
    <row r="11" spans="1:6" ht="14.25" customHeight="1" x14ac:dyDescent="0.2">
      <c r="A11" s="4">
        <v>6</v>
      </c>
      <c r="B11" s="5" t="s">
        <v>390</v>
      </c>
      <c r="C11" s="5" t="s">
        <v>391</v>
      </c>
      <c r="D11" s="6" t="s">
        <v>9</v>
      </c>
      <c r="E11" s="7">
        <v>823054540</v>
      </c>
      <c r="F11" s="5">
        <v>823879367</v>
      </c>
    </row>
    <row r="12" spans="1:6" ht="14.25" customHeight="1" x14ac:dyDescent="0.2">
      <c r="A12" s="4">
        <v>7</v>
      </c>
      <c r="B12" s="5" t="s">
        <v>348</v>
      </c>
      <c r="C12" s="5" t="s">
        <v>392</v>
      </c>
      <c r="D12" s="6" t="s">
        <v>9</v>
      </c>
      <c r="E12" s="7">
        <v>840109853</v>
      </c>
      <c r="F12" s="5">
        <v>844566604</v>
      </c>
    </row>
    <row r="13" spans="1:6" ht="14.25" customHeight="1" x14ac:dyDescent="0.2">
      <c r="A13" s="4">
        <v>8</v>
      </c>
      <c r="B13" s="5" t="s">
        <v>393</v>
      </c>
      <c r="C13" s="5" t="s">
        <v>394</v>
      </c>
      <c r="D13" s="6" t="s">
        <v>31</v>
      </c>
      <c r="E13" s="7" t="s">
        <v>395</v>
      </c>
      <c r="F13" s="5"/>
    </row>
    <row r="14" spans="1:6" ht="14.25" customHeight="1" x14ac:dyDescent="0.2">
      <c r="A14" s="4">
        <v>9</v>
      </c>
      <c r="B14" s="8" t="s">
        <v>396</v>
      </c>
      <c r="C14" s="214" t="s">
        <v>397</v>
      </c>
      <c r="D14" s="14" t="s">
        <v>9</v>
      </c>
      <c r="E14" s="9">
        <v>877777090</v>
      </c>
      <c r="F14" s="8"/>
    </row>
    <row r="15" spans="1:6" ht="14.25" customHeight="1" x14ac:dyDescent="0.2">
      <c r="A15" s="4">
        <v>10</v>
      </c>
      <c r="B15" s="5" t="s">
        <v>398</v>
      </c>
      <c r="C15" s="213" t="s">
        <v>288</v>
      </c>
      <c r="D15" s="6" t="s">
        <v>9</v>
      </c>
      <c r="E15" s="7">
        <v>823055683</v>
      </c>
      <c r="F15" s="5">
        <v>823684418</v>
      </c>
    </row>
    <row r="16" spans="1:6" ht="14.25" customHeight="1" x14ac:dyDescent="0.2">
      <c r="A16" s="4">
        <v>11</v>
      </c>
      <c r="B16" s="5" t="s">
        <v>399</v>
      </c>
      <c r="C16" s="213" t="s">
        <v>400</v>
      </c>
      <c r="D16" s="6" t="s">
        <v>9</v>
      </c>
      <c r="E16" s="7">
        <v>827544504</v>
      </c>
      <c r="F16" s="5"/>
    </row>
    <row r="17" spans="1:6" ht="14.25" customHeight="1" x14ac:dyDescent="0.2">
      <c r="A17" s="4">
        <v>12</v>
      </c>
      <c r="B17" s="5" t="s">
        <v>401</v>
      </c>
      <c r="C17" s="213" t="s">
        <v>402</v>
      </c>
      <c r="D17" s="6" t="s">
        <v>31</v>
      </c>
      <c r="E17" s="7">
        <v>823032420</v>
      </c>
      <c r="F17" s="5"/>
    </row>
    <row r="18" spans="1:6" ht="14.25" customHeight="1" x14ac:dyDescent="0.2">
      <c r="A18" s="4">
        <v>13</v>
      </c>
      <c r="B18" s="5" t="s">
        <v>403</v>
      </c>
      <c r="C18" s="213" t="s">
        <v>404</v>
      </c>
      <c r="D18" s="6" t="s">
        <v>9</v>
      </c>
      <c r="E18" s="7">
        <v>844591435</v>
      </c>
      <c r="F18" s="5"/>
    </row>
    <row r="19" spans="1:6" ht="14.25" customHeight="1" x14ac:dyDescent="0.2">
      <c r="A19" s="4">
        <v>14</v>
      </c>
      <c r="B19" s="5" t="s">
        <v>405</v>
      </c>
      <c r="C19" s="213" t="s">
        <v>406</v>
      </c>
      <c r="D19" s="6" t="s">
        <v>31</v>
      </c>
      <c r="E19" s="7">
        <v>845077835</v>
      </c>
      <c r="F19" s="5"/>
    </row>
    <row r="20" spans="1:6" ht="14.25" customHeight="1" x14ac:dyDescent="0.2">
      <c r="A20" s="4">
        <v>15</v>
      </c>
      <c r="B20" s="5" t="s">
        <v>407</v>
      </c>
      <c r="C20" s="213" t="s">
        <v>408</v>
      </c>
      <c r="D20" s="6" t="s">
        <v>31</v>
      </c>
      <c r="E20" s="7">
        <v>843901024</v>
      </c>
      <c r="F20" s="5">
        <v>828628040</v>
      </c>
    </row>
    <row r="21" spans="1:6" ht="14.25" customHeight="1" x14ac:dyDescent="0.2">
      <c r="A21" s="4">
        <v>16</v>
      </c>
      <c r="B21" s="5" t="s">
        <v>363</v>
      </c>
      <c r="C21" s="213" t="s">
        <v>409</v>
      </c>
      <c r="D21" s="6" t="s">
        <v>9</v>
      </c>
      <c r="E21" s="7" t="s">
        <v>410</v>
      </c>
      <c r="F21" s="5">
        <v>844461186</v>
      </c>
    </row>
    <row r="22" spans="1:6" ht="14.25" customHeight="1" x14ac:dyDescent="0.2">
      <c r="A22" s="4">
        <v>17</v>
      </c>
      <c r="B22" s="5" t="s">
        <v>411</v>
      </c>
      <c r="C22" s="213" t="s">
        <v>412</v>
      </c>
      <c r="D22" s="6" t="s">
        <v>9</v>
      </c>
      <c r="E22" s="7">
        <v>844022544</v>
      </c>
      <c r="F22" s="5"/>
    </row>
    <row r="23" spans="1:6" ht="14.25" customHeight="1" x14ac:dyDescent="0.2">
      <c r="A23" s="4">
        <v>18</v>
      </c>
      <c r="B23" s="5" t="s">
        <v>413</v>
      </c>
      <c r="C23" s="5" t="s">
        <v>414</v>
      </c>
      <c r="D23" s="6" t="s">
        <v>9</v>
      </c>
      <c r="E23" s="7">
        <v>843114023</v>
      </c>
      <c r="F23" s="5">
        <v>847666871</v>
      </c>
    </row>
    <row r="24" spans="1:6" ht="14.25" customHeight="1" x14ac:dyDescent="0.2">
      <c r="A24" s="4">
        <v>19</v>
      </c>
      <c r="B24" s="5" t="s">
        <v>229</v>
      </c>
      <c r="C24" s="213" t="s">
        <v>415</v>
      </c>
      <c r="D24" s="6" t="s">
        <v>31</v>
      </c>
      <c r="E24" s="7">
        <v>823918490</v>
      </c>
      <c r="F24" s="5"/>
    </row>
    <row r="25" spans="1:6" ht="14.25" customHeight="1" x14ac:dyDescent="0.2">
      <c r="A25" s="4">
        <v>20</v>
      </c>
      <c r="B25" s="5" t="s">
        <v>416</v>
      </c>
      <c r="C25" s="213" t="s">
        <v>417</v>
      </c>
      <c r="D25" s="6" t="s">
        <v>9</v>
      </c>
      <c r="E25" s="7">
        <v>843226540</v>
      </c>
      <c r="F25" s="5">
        <v>824112230</v>
      </c>
    </row>
    <row r="26" spans="1:6" ht="14.25" customHeight="1" x14ac:dyDescent="0.2">
      <c r="A26" s="4">
        <v>21</v>
      </c>
      <c r="B26" s="5" t="s">
        <v>418</v>
      </c>
      <c r="C26" s="213" t="s">
        <v>419</v>
      </c>
      <c r="D26" s="6" t="s">
        <v>31</v>
      </c>
      <c r="E26" s="7">
        <v>843066790</v>
      </c>
      <c r="F26" s="5"/>
    </row>
    <row r="27" spans="1:6" x14ac:dyDescent="0.2">
      <c r="A27" s="4">
        <v>22</v>
      </c>
      <c r="B27" s="5" t="s">
        <v>420</v>
      </c>
      <c r="C27" s="213" t="s">
        <v>421</v>
      </c>
      <c r="D27" s="6" t="s">
        <v>31</v>
      </c>
      <c r="E27" s="7">
        <v>847180818</v>
      </c>
      <c r="F27" s="5">
        <v>823955110</v>
      </c>
    </row>
    <row r="28" spans="1:6" ht="14.25" customHeight="1" x14ac:dyDescent="0.2">
      <c r="A28" s="4">
        <v>23</v>
      </c>
      <c r="B28" s="8"/>
      <c r="C28" s="8"/>
      <c r="D28" s="8"/>
      <c r="E28" s="8"/>
      <c r="F28" s="8"/>
    </row>
    <row r="29" spans="1:6" ht="14.25" customHeight="1" x14ac:dyDescent="0.2">
      <c r="A29" s="4">
        <v>24</v>
      </c>
      <c r="B29" s="8"/>
      <c r="C29" s="8"/>
      <c r="D29" s="8"/>
      <c r="E29" s="8"/>
      <c r="F29" s="8"/>
    </row>
    <row r="30" spans="1:6" ht="14.25" customHeight="1" x14ac:dyDescent="0.2">
      <c r="A30" s="4">
        <v>25</v>
      </c>
      <c r="B30" s="8"/>
      <c r="C30" s="8"/>
      <c r="D30" s="8"/>
      <c r="E30" s="8"/>
      <c r="F30" s="8"/>
    </row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</sheetData>
  <pageMargins left="0.7" right="0.7" top="0.75" bottom="0.75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988"/>
  <sheetViews>
    <sheetView workbookViewId="0">
      <selection activeCell="A26" activeCellId="3" sqref="A7:XFD8 A12:XFD12 A14:XFD14 A26:XFD26"/>
    </sheetView>
  </sheetViews>
  <sheetFormatPr baseColWidth="10" defaultColWidth="14.5" defaultRowHeight="15" customHeight="1" x14ac:dyDescent="0.2"/>
  <cols>
    <col min="1" max="1" width="3.5" customWidth="1"/>
    <col min="2" max="2" width="18.6640625" customWidth="1"/>
    <col min="3" max="3" width="26.33203125" customWidth="1"/>
    <col min="4" max="4" width="8.1640625" customWidth="1"/>
    <col min="5" max="6" width="11.6640625" customWidth="1"/>
    <col min="7" max="26" width="8.6640625" customWidth="1"/>
  </cols>
  <sheetData>
    <row r="1" spans="1:26" ht="14.25" customHeight="1" x14ac:dyDescent="0.2">
      <c r="A1" s="13" t="s">
        <v>422</v>
      </c>
      <c r="C1" s="1" t="s">
        <v>0</v>
      </c>
    </row>
    <row r="2" spans="1:26" ht="14.25" customHeight="1" x14ac:dyDescent="0.2">
      <c r="C2" s="1" t="s">
        <v>423</v>
      </c>
    </row>
    <row r="3" spans="1:26" ht="14.25" customHeight="1" x14ac:dyDescent="0.2">
      <c r="C3" s="1" t="s">
        <v>424</v>
      </c>
    </row>
    <row r="4" spans="1:26" ht="14.25" customHeight="1" x14ac:dyDescent="0.2"/>
    <row r="5" spans="1:26" ht="14.25" customHeight="1" x14ac:dyDescent="0.2">
      <c r="A5" s="2" t="s">
        <v>3</v>
      </c>
      <c r="B5" s="3" t="s">
        <v>4</v>
      </c>
      <c r="C5" s="3" t="s">
        <v>5</v>
      </c>
      <c r="D5" s="2" t="s">
        <v>6</v>
      </c>
      <c r="E5" s="2" t="s">
        <v>48</v>
      </c>
      <c r="F5" s="2" t="s">
        <v>48</v>
      </c>
    </row>
    <row r="6" spans="1:26" ht="14.25" customHeight="1" x14ac:dyDescent="0.2">
      <c r="A6" s="4">
        <v>1</v>
      </c>
      <c r="B6" s="15" t="s">
        <v>425</v>
      </c>
      <c r="C6" s="215" t="s">
        <v>426</v>
      </c>
      <c r="D6" s="15"/>
      <c r="E6" s="15"/>
      <c r="F6" s="15"/>
    </row>
    <row r="7" spans="1:26" ht="14.25" customHeight="1" x14ac:dyDescent="0.2">
      <c r="A7" s="4">
        <v>2</v>
      </c>
      <c r="B7" s="5" t="s">
        <v>427</v>
      </c>
      <c r="C7" s="5" t="s">
        <v>428</v>
      </c>
      <c r="D7" s="6" t="s">
        <v>9</v>
      </c>
      <c r="E7" s="7" t="s">
        <v>429</v>
      </c>
      <c r="F7" s="5"/>
    </row>
    <row r="8" spans="1:26" ht="14.25" customHeight="1" x14ac:dyDescent="0.2">
      <c r="A8" s="16">
        <v>3</v>
      </c>
      <c r="B8" s="17" t="s">
        <v>430</v>
      </c>
      <c r="C8" s="17" t="s">
        <v>431</v>
      </c>
      <c r="D8" s="18" t="s">
        <v>9</v>
      </c>
      <c r="E8" s="19">
        <v>823093340</v>
      </c>
      <c r="F8" s="17">
        <v>824595800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4.25" customHeight="1" x14ac:dyDescent="0.2">
      <c r="A9" s="16">
        <v>4</v>
      </c>
      <c r="B9" s="15" t="s">
        <v>432</v>
      </c>
      <c r="C9" s="215" t="s">
        <v>433</v>
      </c>
      <c r="D9" s="15"/>
      <c r="E9" s="15"/>
      <c r="F9" s="15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4.25" customHeight="1" x14ac:dyDescent="0.2">
      <c r="A10" s="16">
        <v>5</v>
      </c>
      <c r="B10" s="17" t="s">
        <v>248</v>
      </c>
      <c r="C10" s="216" t="s">
        <v>71</v>
      </c>
      <c r="D10" s="18" t="s">
        <v>9</v>
      </c>
      <c r="E10" s="19">
        <v>867385360</v>
      </c>
      <c r="F10" s="17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4.25" customHeight="1" x14ac:dyDescent="0.2">
      <c r="A11" s="16">
        <v>6</v>
      </c>
      <c r="B11" s="17" t="s">
        <v>168</v>
      </c>
      <c r="C11" s="216" t="s">
        <v>284</v>
      </c>
      <c r="D11" s="18" t="s">
        <v>31</v>
      </c>
      <c r="E11" s="19">
        <v>825725514</v>
      </c>
      <c r="F11" s="17">
        <v>845465258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4.25" customHeight="1" x14ac:dyDescent="0.2">
      <c r="A12" s="16">
        <v>7</v>
      </c>
      <c r="B12" s="17" t="s">
        <v>403</v>
      </c>
      <c r="C12" s="17" t="s">
        <v>434</v>
      </c>
      <c r="D12" s="18" t="s">
        <v>9</v>
      </c>
      <c r="E12" s="19">
        <v>844591435</v>
      </c>
      <c r="F12" s="17">
        <v>843582827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4.25" customHeight="1" x14ac:dyDescent="0.2">
      <c r="A13" s="16">
        <v>8</v>
      </c>
      <c r="B13" s="17" t="s">
        <v>435</v>
      </c>
      <c r="C13" s="216" t="s">
        <v>436</v>
      </c>
      <c r="D13" s="18" t="s">
        <v>31</v>
      </c>
      <c r="E13" s="19">
        <v>843335060</v>
      </c>
      <c r="F13" s="17">
        <v>822172281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4.25" customHeight="1" x14ac:dyDescent="0.2">
      <c r="A14" s="4">
        <v>9</v>
      </c>
      <c r="B14" s="5" t="s">
        <v>435</v>
      </c>
      <c r="C14" s="5" t="s">
        <v>437</v>
      </c>
      <c r="D14" s="6" t="s">
        <v>9</v>
      </c>
      <c r="E14" s="7">
        <v>843003820</v>
      </c>
      <c r="F14" s="5"/>
    </row>
    <row r="15" spans="1:26" ht="14.25" customHeight="1" x14ac:dyDescent="0.2">
      <c r="A15" s="4">
        <v>10</v>
      </c>
      <c r="B15" s="8" t="s">
        <v>438</v>
      </c>
      <c r="C15" s="214" t="s">
        <v>193</v>
      </c>
      <c r="D15" s="14" t="s">
        <v>31</v>
      </c>
      <c r="E15" s="9">
        <v>848125881</v>
      </c>
      <c r="F15" s="9">
        <v>879606791</v>
      </c>
    </row>
    <row r="16" spans="1:26" ht="14.25" customHeight="1" x14ac:dyDescent="0.2">
      <c r="A16" s="4">
        <v>11</v>
      </c>
      <c r="B16" s="5" t="s">
        <v>439</v>
      </c>
      <c r="C16" s="213" t="s">
        <v>440</v>
      </c>
      <c r="D16" s="6" t="s">
        <v>31</v>
      </c>
      <c r="E16" s="7">
        <v>829217970</v>
      </c>
      <c r="F16" s="5">
        <v>825540577</v>
      </c>
    </row>
    <row r="17" spans="1:26" ht="14.25" customHeight="1" x14ac:dyDescent="0.2">
      <c r="A17" s="4">
        <v>12</v>
      </c>
      <c r="B17" s="5" t="s">
        <v>441</v>
      </c>
      <c r="C17" s="213" t="s">
        <v>442</v>
      </c>
      <c r="D17" s="6" t="s">
        <v>9</v>
      </c>
      <c r="E17" s="7">
        <v>845204184</v>
      </c>
      <c r="F17" s="5">
        <v>846700833</v>
      </c>
      <c r="K17" t="s">
        <v>538</v>
      </c>
      <c r="L17" t="s">
        <v>539</v>
      </c>
      <c r="M17" t="s">
        <v>540</v>
      </c>
    </row>
    <row r="18" spans="1:26" ht="14.25" customHeight="1" x14ac:dyDescent="0.2">
      <c r="A18" s="4">
        <v>13</v>
      </c>
      <c r="B18" s="5" t="s">
        <v>443</v>
      </c>
      <c r="C18" s="213" t="s">
        <v>444</v>
      </c>
      <c r="D18" s="6" t="s">
        <v>9</v>
      </c>
      <c r="E18" s="7">
        <v>871555222</v>
      </c>
      <c r="F18" s="5"/>
      <c r="K18">
        <v>86</v>
      </c>
      <c r="L18">
        <v>89</v>
      </c>
      <c r="M18">
        <v>66</v>
      </c>
    </row>
    <row r="19" spans="1:26" ht="14.25" customHeight="1" x14ac:dyDescent="0.2">
      <c r="A19" s="4">
        <v>14</v>
      </c>
      <c r="B19" s="5" t="s">
        <v>445</v>
      </c>
      <c r="C19" s="213" t="s">
        <v>446</v>
      </c>
      <c r="D19" s="6" t="s">
        <v>31</v>
      </c>
      <c r="E19" s="7">
        <v>845925854</v>
      </c>
      <c r="F19" s="5">
        <v>845925854</v>
      </c>
    </row>
    <row r="20" spans="1:26" ht="14.25" customHeight="1" x14ac:dyDescent="0.2">
      <c r="A20" s="4">
        <v>15</v>
      </c>
      <c r="B20" s="5" t="s">
        <v>270</v>
      </c>
      <c r="C20" s="213" t="s">
        <v>447</v>
      </c>
      <c r="D20" s="6" t="s">
        <v>31</v>
      </c>
      <c r="E20" s="7">
        <v>843025068</v>
      </c>
      <c r="F20" s="5">
        <v>822109070</v>
      </c>
    </row>
    <row r="21" spans="1:26" ht="14.25" customHeight="1" x14ac:dyDescent="0.2">
      <c r="A21" s="4">
        <v>16</v>
      </c>
      <c r="B21" s="5" t="s">
        <v>126</v>
      </c>
      <c r="C21" s="213" t="s">
        <v>448</v>
      </c>
      <c r="D21" s="6" t="s">
        <v>31</v>
      </c>
      <c r="E21" s="7">
        <v>828503540</v>
      </c>
      <c r="F21" s="5">
        <v>824253310</v>
      </c>
    </row>
    <row r="22" spans="1:26" ht="14.25" customHeight="1" x14ac:dyDescent="0.2">
      <c r="A22" s="4">
        <v>17</v>
      </c>
      <c r="B22" s="5" t="s">
        <v>420</v>
      </c>
      <c r="C22" s="213" t="s">
        <v>226</v>
      </c>
      <c r="D22" s="6" t="s">
        <v>9</v>
      </c>
      <c r="E22" s="7">
        <v>823028212</v>
      </c>
      <c r="F22" s="5">
        <v>847493300</v>
      </c>
    </row>
    <row r="23" spans="1:26" ht="14.25" customHeight="1" x14ac:dyDescent="0.2">
      <c r="A23" s="4">
        <v>18</v>
      </c>
      <c r="B23" s="15" t="s">
        <v>449</v>
      </c>
      <c r="C23" s="215" t="s">
        <v>450</v>
      </c>
      <c r="D23" s="21" t="s">
        <v>31</v>
      </c>
      <c r="E23" s="15"/>
      <c r="F23" s="15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4.25" customHeight="1" x14ac:dyDescent="0.2">
      <c r="A24" s="4">
        <v>19</v>
      </c>
      <c r="B24" s="15" t="s">
        <v>327</v>
      </c>
      <c r="C24" s="215" t="s">
        <v>328</v>
      </c>
      <c r="D24" s="21" t="s">
        <v>31</v>
      </c>
      <c r="E24" s="15"/>
      <c r="F24" s="15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4.25" customHeight="1" x14ac:dyDescent="0.2">
      <c r="A25" s="4">
        <v>20</v>
      </c>
      <c r="B25" s="5" t="s">
        <v>451</v>
      </c>
      <c r="C25" s="213" t="s">
        <v>452</v>
      </c>
      <c r="D25" s="6" t="s">
        <v>9</v>
      </c>
      <c r="E25" s="7">
        <v>840234171</v>
      </c>
      <c r="F25" s="5">
        <v>844420793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4.25" customHeight="1" x14ac:dyDescent="0.2">
      <c r="A26" s="4">
        <v>21</v>
      </c>
      <c r="B26" s="5" t="s">
        <v>453</v>
      </c>
      <c r="C26" s="5" t="s">
        <v>454</v>
      </c>
      <c r="D26" s="6" t="s">
        <v>9</v>
      </c>
      <c r="E26" s="7">
        <v>848782579</v>
      </c>
      <c r="F26" s="5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4.25" customHeight="1" x14ac:dyDescent="0.2"/>
    <row r="28" spans="1:26" ht="14.25" customHeight="1" x14ac:dyDescent="0.2">
      <c r="B28" t="s">
        <v>533</v>
      </c>
      <c r="C28" t="s">
        <v>534</v>
      </c>
    </row>
    <row r="29" spans="1:26" ht="14.25" customHeight="1" x14ac:dyDescent="0.2">
      <c r="B29" s="217" t="s">
        <v>305</v>
      </c>
      <c r="C29" t="s">
        <v>535</v>
      </c>
    </row>
    <row r="30" spans="1:26" ht="14.25" customHeight="1" x14ac:dyDescent="0.2">
      <c r="B30" s="20"/>
    </row>
    <row r="31" spans="1:26" ht="14.25" customHeight="1" x14ac:dyDescent="0.2">
      <c r="B31" s="20"/>
    </row>
    <row r="32" spans="1:26" ht="14.25" customHeight="1" x14ac:dyDescent="0.2">
      <c r="B32" t="s">
        <v>536</v>
      </c>
      <c r="C32" t="s">
        <v>537</v>
      </c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</sheetData>
  <pageMargins left="0.7" right="0.7" top="0.75" bottom="0.75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D981"/>
  <sheetViews>
    <sheetView zoomScaleNormal="100" workbookViewId="0">
      <selection activeCell="C36" sqref="C36"/>
    </sheetView>
  </sheetViews>
  <sheetFormatPr baseColWidth="10" defaultColWidth="14.5" defaultRowHeight="15" customHeight="1" x14ac:dyDescent="0.2"/>
  <cols>
    <col min="1" max="1" width="5.83203125" customWidth="1"/>
    <col min="2" max="2" width="13.5" customWidth="1"/>
    <col min="3" max="3" width="28.6640625" bestFit="1" customWidth="1"/>
    <col min="4" max="4" width="14" bestFit="1" customWidth="1"/>
    <col min="5" max="5" width="15.83203125" bestFit="1" customWidth="1"/>
    <col min="6" max="6" width="17.83203125" bestFit="1" customWidth="1"/>
    <col min="7" max="7" width="13" bestFit="1" customWidth="1"/>
    <col min="8" max="8" width="14" bestFit="1" customWidth="1"/>
    <col min="9" max="9" width="13.33203125" bestFit="1" customWidth="1"/>
    <col min="10" max="10" width="14" bestFit="1" customWidth="1"/>
    <col min="11" max="11" width="12" bestFit="1" customWidth="1"/>
    <col min="12" max="12" width="20.6640625" bestFit="1" customWidth="1"/>
    <col min="13" max="13" width="21" bestFit="1" customWidth="1"/>
    <col min="14" max="14" width="12.5" bestFit="1" customWidth="1"/>
    <col min="15" max="15" width="13.5" bestFit="1" customWidth="1"/>
    <col min="16" max="16" width="10.6640625" bestFit="1" customWidth="1"/>
    <col min="17" max="17" width="11" bestFit="1" customWidth="1"/>
    <col min="18" max="18" width="14.33203125" bestFit="1" customWidth="1"/>
    <col min="19" max="19" width="15" bestFit="1" customWidth="1"/>
    <col min="20" max="20" width="12.6640625" bestFit="1" customWidth="1"/>
    <col min="21" max="21" width="11" bestFit="1" customWidth="1"/>
    <col min="22" max="22" width="12.5" bestFit="1" customWidth="1"/>
    <col min="23" max="23" width="21.1640625" bestFit="1" customWidth="1"/>
    <col min="24" max="24" width="20.33203125" bestFit="1" customWidth="1"/>
    <col min="25" max="25" width="13.1640625" bestFit="1" customWidth="1"/>
    <col min="26" max="27" width="12.6640625" bestFit="1" customWidth="1"/>
    <col min="28" max="28" width="11" bestFit="1" customWidth="1"/>
    <col min="29" max="29" width="16.33203125" bestFit="1" customWidth="1"/>
    <col min="30" max="30" width="11" bestFit="1" customWidth="1"/>
    <col min="31" max="31" width="12" bestFit="1" customWidth="1"/>
    <col min="32" max="32" width="10.6640625" bestFit="1" customWidth="1"/>
    <col min="33" max="33" width="10.33203125" bestFit="1" customWidth="1"/>
    <col min="34" max="34" width="10.33203125" customWidth="1"/>
    <col min="35" max="35" width="11.6640625" bestFit="1" customWidth="1"/>
    <col min="36" max="36" width="10.33203125" style="62" bestFit="1" customWidth="1"/>
    <col min="37" max="37" width="5.83203125" style="62" customWidth="1"/>
    <col min="38" max="38" width="13" bestFit="1" customWidth="1"/>
    <col min="39" max="39" width="11.6640625" bestFit="1" customWidth="1"/>
    <col min="40" max="40" width="14.1640625" bestFit="1" customWidth="1"/>
    <col min="41" max="41" width="11.6640625" bestFit="1" customWidth="1"/>
    <col min="42" max="42" width="9.6640625" customWidth="1"/>
    <col min="43" max="43" width="11" customWidth="1"/>
    <col min="44" max="44" width="14.1640625" bestFit="1" customWidth="1"/>
    <col min="45" max="45" width="11.6640625" bestFit="1" customWidth="1"/>
    <col min="46" max="46" width="10.6640625" customWidth="1"/>
    <col min="47" max="47" width="11.6640625" customWidth="1"/>
    <col min="48" max="48" width="14.5" customWidth="1"/>
    <col min="49" max="49" width="12.6640625" customWidth="1"/>
    <col min="50" max="50" width="10.6640625" customWidth="1"/>
    <col min="51" max="51" width="15" customWidth="1"/>
    <col min="53" max="53" width="12" customWidth="1"/>
    <col min="54" max="54" width="31.83203125" customWidth="1"/>
    <col min="55" max="55" width="21.6640625" customWidth="1"/>
    <col min="56" max="56" width="17.83203125" customWidth="1"/>
    <col min="57" max="57" width="17.6640625" customWidth="1"/>
    <col min="58" max="58" width="14.5" customWidth="1"/>
    <col min="60" max="60" width="17.6640625" customWidth="1"/>
    <col min="61" max="61" width="20.5" customWidth="1"/>
    <col min="62" max="62" width="17.6640625" customWidth="1"/>
    <col min="63" max="63" width="17.33203125" customWidth="1"/>
    <col min="64" max="64" width="18.6640625" customWidth="1"/>
    <col min="65" max="65" width="22.83203125" customWidth="1"/>
    <col min="66" max="66" width="23.83203125" customWidth="1"/>
    <col min="67" max="67" width="19.1640625" customWidth="1"/>
    <col min="68" max="69" width="15.83203125" customWidth="1"/>
    <col min="71" max="71" width="19.6640625" customWidth="1"/>
    <col min="72" max="72" width="15.6640625" customWidth="1"/>
  </cols>
  <sheetData>
    <row r="1" spans="1:37" ht="48.75" customHeight="1" thickBot="1" x14ac:dyDescent="0.25">
      <c r="A1" s="252" t="s">
        <v>3</v>
      </c>
      <c r="B1" s="172" t="s">
        <v>4</v>
      </c>
      <c r="C1" s="244" t="s">
        <v>5</v>
      </c>
      <c r="D1" s="235" t="s">
        <v>652</v>
      </c>
      <c r="E1" s="245" t="s">
        <v>651</v>
      </c>
      <c r="F1" s="245" t="s">
        <v>650</v>
      </c>
      <c r="G1" s="245" t="s">
        <v>649</v>
      </c>
      <c r="H1" s="164" t="s">
        <v>648</v>
      </c>
      <c r="I1" s="39" t="s">
        <v>647</v>
      </c>
      <c r="J1" s="38" t="s">
        <v>646</v>
      </c>
      <c r="K1" s="69" t="s">
        <v>645</v>
      </c>
      <c r="L1" s="69" t="s">
        <v>551</v>
      </c>
      <c r="M1" s="69" t="s">
        <v>552</v>
      </c>
      <c r="N1" s="69" t="s">
        <v>632</v>
      </c>
      <c r="O1" s="69" t="s">
        <v>555</v>
      </c>
      <c r="P1" s="69" t="s">
        <v>553</v>
      </c>
      <c r="Q1" s="69" t="s">
        <v>633</v>
      </c>
      <c r="R1" s="69" t="s">
        <v>634</v>
      </c>
      <c r="S1" s="69" t="s">
        <v>635</v>
      </c>
      <c r="T1" s="69" t="s">
        <v>636</v>
      </c>
      <c r="U1" s="69" t="s">
        <v>554</v>
      </c>
      <c r="V1" s="69" t="s">
        <v>637</v>
      </c>
      <c r="W1" s="69" t="s">
        <v>638</v>
      </c>
      <c r="X1" s="69" t="s">
        <v>639</v>
      </c>
      <c r="Y1" s="69" t="s">
        <v>640</v>
      </c>
      <c r="Z1" s="69" t="s">
        <v>641</v>
      </c>
      <c r="AA1" s="69" t="s">
        <v>642</v>
      </c>
      <c r="AB1" s="69" t="s">
        <v>643</v>
      </c>
      <c r="AC1" s="69" t="s">
        <v>644</v>
      </c>
      <c r="AD1" s="73" t="s">
        <v>655</v>
      </c>
      <c r="AJ1"/>
      <c r="AK1"/>
    </row>
    <row r="2" spans="1:37" ht="14.25" customHeight="1" thickBot="1" x14ac:dyDescent="0.25">
      <c r="A2" s="253">
        <v>1</v>
      </c>
      <c r="B2" s="326"/>
      <c r="C2" s="326" t="s">
        <v>573</v>
      </c>
      <c r="D2" s="46"/>
      <c r="E2" s="25"/>
      <c r="F2" s="25"/>
      <c r="G2" s="205"/>
      <c r="H2" s="46"/>
      <c r="I2" s="238"/>
      <c r="J2" s="239"/>
      <c r="K2" s="284"/>
      <c r="L2" s="247"/>
      <c r="M2" s="247"/>
      <c r="N2" s="247"/>
      <c r="O2" s="247"/>
      <c r="P2" s="247"/>
      <c r="Q2" s="280">
        <f t="shared" ref="Q2:Q29" si="0">L2+M2+N2+O2+P2</f>
        <v>0</v>
      </c>
      <c r="R2" s="275"/>
      <c r="S2" s="278"/>
      <c r="T2" s="278"/>
      <c r="U2" s="278"/>
      <c r="V2" s="278"/>
      <c r="W2" s="278"/>
      <c r="X2" s="278"/>
      <c r="Y2" s="278"/>
      <c r="Z2" s="278"/>
      <c r="AA2" s="278"/>
      <c r="AB2" s="277">
        <f t="shared" ref="AB2:AB29" si="1">SUM(S2,T2,U2,V2,W2,X2,Y2,Z2,AA2)</f>
        <v>0</v>
      </c>
      <c r="AC2" s="281"/>
      <c r="AD2" s="282">
        <f>K2*30 + R2*35 +AC2*35</f>
        <v>0</v>
      </c>
      <c r="AJ2"/>
      <c r="AK2"/>
    </row>
    <row r="3" spans="1:37" ht="14.25" customHeight="1" thickBot="1" x14ac:dyDescent="0.25">
      <c r="A3" s="254">
        <v>2</v>
      </c>
      <c r="B3" s="326"/>
      <c r="C3" s="326" t="s">
        <v>574</v>
      </c>
      <c r="D3" s="46">
        <v>17</v>
      </c>
      <c r="E3" s="25">
        <v>14</v>
      </c>
      <c r="F3" s="204">
        <f t="shared" ref="F3:F29" si="2">D3+E3</f>
        <v>31</v>
      </c>
      <c r="G3" s="264">
        <v>18</v>
      </c>
      <c r="H3" s="274">
        <v>30</v>
      </c>
      <c r="I3" s="271">
        <f>F3/45*25+G3/20*15+H3/50*60</f>
        <v>66.722222222222229</v>
      </c>
      <c r="J3" s="46">
        <v>22</v>
      </c>
      <c r="K3" s="270">
        <f t="shared" ref="K3:K29" si="3">J3/50</f>
        <v>0.44</v>
      </c>
      <c r="L3" s="248">
        <v>18</v>
      </c>
      <c r="M3" s="248">
        <v>29</v>
      </c>
      <c r="N3" s="248">
        <v>23</v>
      </c>
      <c r="O3" s="248">
        <v>1</v>
      </c>
      <c r="P3" s="248">
        <v>0</v>
      </c>
      <c r="Q3" s="280">
        <f t="shared" si="0"/>
        <v>71</v>
      </c>
      <c r="R3" s="276">
        <f>Q3/180</f>
        <v>0.39444444444444443</v>
      </c>
      <c r="S3" s="279">
        <v>11</v>
      </c>
      <c r="T3" s="279">
        <v>9</v>
      </c>
      <c r="U3" s="279">
        <v>19</v>
      </c>
      <c r="V3" s="279">
        <v>12</v>
      </c>
      <c r="W3" s="279">
        <v>9</v>
      </c>
      <c r="X3" s="279">
        <v>9</v>
      </c>
      <c r="Y3" s="279">
        <v>8</v>
      </c>
      <c r="Z3" s="279">
        <v>25</v>
      </c>
      <c r="AA3" s="279">
        <v>18</v>
      </c>
      <c r="AB3" s="277">
        <f t="shared" si="1"/>
        <v>120</v>
      </c>
      <c r="AC3" s="276">
        <f>AB3/150</f>
        <v>0.8</v>
      </c>
      <c r="AD3" s="255">
        <f t="shared" ref="AD3:AD29" si="4">K3*30 + R3*35 +AC3*35</f>
        <v>55.005555555555553</v>
      </c>
      <c r="AJ3"/>
      <c r="AK3"/>
    </row>
    <row r="4" spans="1:37" ht="14.25" hidden="1" customHeight="1" thickBot="1" x14ac:dyDescent="0.25">
      <c r="A4" s="253">
        <v>3</v>
      </c>
      <c r="B4" s="326"/>
      <c r="C4" s="326" t="s">
        <v>575</v>
      </c>
      <c r="D4" s="46"/>
      <c r="E4" s="25"/>
      <c r="F4" s="204">
        <f t="shared" si="2"/>
        <v>0</v>
      </c>
      <c r="G4" s="264"/>
      <c r="H4" s="274"/>
      <c r="I4" s="272">
        <f t="shared" ref="I4:I29" si="5">F4/45*25+G4/20*15+H4/50*60</f>
        <v>0</v>
      </c>
      <c r="J4" s="46"/>
      <c r="K4" s="270">
        <f t="shared" si="3"/>
        <v>0</v>
      </c>
      <c r="L4" s="248"/>
      <c r="M4" s="248"/>
      <c r="N4" s="248"/>
      <c r="O4" s="248"/>
      <c r="P4" s="248"/>
      <c r="Q4" s="280">
        <f t="shared" si="0"/>
        <v>0</v>
      </c>
      <c r="R4" s="276">
        <f t="shared" ref="R4:R29" si="6">Q4/180</f>
        <v>0</v>
      </c>
      <c r="S4" s="279"/>
      <c r="T4" s="279"/>
      <c r="U4" s="279"/>
      <c r="V4" s="279"/>
      <c r="W4" s="279"/>
      <c r="X4" s="279"/>
      <c r="Y4" s="279"/>
      <c r="Z4" s="279"/>
      <c r="AA4" s="279"/>
      <c r="AB4" s="277">
        <f t="shared" si="1"/>
        <v>0</v>
      </c>
      <c r="AC4" s="276">
        <f t="shared" ref="AC4:AC29" si="7">AB4/150</f>
        <v>0</v>
      </c>
      <c r="AD4" s="255">
        <f t="shared" si="4"/>
        <v>0</v>
      </c>
      <c r="AJ4"/>
      <c r="AK4"/>
    </row>
    <row r="5" spans="1:37" ht="14.25" customHeight="1" thickBot="1" x14ac:dyDescent="0.25">
      <c r="A5" s="254">
        <v>4</v>
      </c>
      <c r="B5" s="326"/>
      <c r="C5" s="326" t="s">
        <v>576</v>
      </c>
      <c r="D5" s="46">
        <v>13</v>
      </c>
      <c r="E5" s="25">
        <v>18</v>
      </c>
      <c r="F5" s="204">
        <f t="shared" si="2"/>
        <v>31</v>
      </c>
      <c r="G5" s="264">
        <v>18</v>
      </c>
      <c r="H5" s="274">
        <v>20</v>
      </c>
      <c r="I5" s="272">
        <f t="shared" si="5"/>
        <v>54.722222222222221</v>
      </c>
      <c r="J5" s="46">
        <v>14</v>
      </c>
      <c r="K5" s="270">
        <f t="shared" si="3"/>
        <v>0.28000000000000003</v>
      </c>
      <c r="L5" s="248">
        <v>17</v>
      </c>
      <c r="M5" s="248">
        <v>18</v>
      </c>
      <c r="N5" s="248">
        <v>27</v>
      </c>
      <c r="O5" s="248">
        <v>3</v>
      </c>
      <c r="P5" s="248">
        <v>0</v>
      </c>
      <c r="Q5" s="280">
        <f t="shared" si="0"/>
        <v>65</v>
      </c>
      <c r="R5" s="276">
        <f t="shared" si="6"/>
        <v>0.3611111111111111</v>
      </c>
      <c r="S5" s="279">
        <v>8</v>
      </c>
      <c r="T5" s="279">
        <v>5</v>
      </c>
      <c r="U5" s="279">
        <v>11</v>
      </c>
      <c r="V5" s="279">
        <v>9</v>
      </c>
      <c r="W5" s="279">
        <v>10</v>
      </c>
      <c r="X5" s="279">
        <v>7</v>
      </c>
      <c r="Y5" s="279">
        <v>5</v>
      </c>
      <c r="Z5" s="279">
        <v>4</v>
      </c>
      <c r="AA5" s="279">
        <v>4</v>
      </c>
      <c r="AB5" s="277">
        <f t="shared" si="1"/>
        <v>63</v>
      </c>
      <c r="AC5" s="276">
        <f t="shared" si="7"/>
        <v>0.42</v>
      </c>
      <c r="AD5" s="255">
        <f t="shared" si="4"/>
        <v>35.738888888888894</v>
      </c>
      <c r="AJ5"/>
      <c r="AK5"/>
    </row>
    <row r="6" spans="1:37" ht="14.25" customHeight="1" thickBot="1" x14ac:dyDescent="0.25">
      <c r="A6" s="253">
        <v>5</v>
      </c>
      <c r="B6" s="326"/>
      <c r="C6" s="326" t="s">
        <v>577</v>
      </c>
      <c r="D6" s="46">
        <v>13</v>
      </c>
      <c r="E6" s="25">
        <v>18</v>
      </c>
      <c r="F6" s="204">
        <f t="shared" si="2"/>
        <v>31</v>
      </c>
      <c r="G6" s="264">
        <v>20</v>
      </c>
      <c r="H6" s="274">
        <v>32</v>
      </c>
      <c r="I6" s="272">
        <f t="shared" si="5"/>
        <v>70.62222222222222</v>
      </c>
      <c r="J6" s="46">
        <v>22</v>
      </c>
      <c r="K6" s="270">
        <f t="shared" si="3"/>
        <v>0.44</v>
      </c>
      <c r="L6" s="248">
        <v>18</v>
      </c>
      <c r="M6" s="248">
        <v>37</v>
      </c>
      <c r="N6" s="248">
        <v>19</v>
      </c>
      <c r="O6" s="248">
        <v>19</v>
      </c>
      <c r="P6" s="248">
        <v>0</v>
      </c>
      <c r="Q6" s="280">
        <f>L6+M6+N6+O6+P6</f>
        <v>93</v>
      </c>
      <c r="R6" s="276">
        <f t="shared" si="6"/>
        <v>0.51666666666666672</v>
      </c>
      <c r="S6" s="279">
        <v>11</v>
      </c>
      <c r="T6" s="279">
        <v>7</v>
      </c>
      <c r="U6" s="279">
        <v>19</v>
      </c>
      <c r="V6" s="279">
        <v>5</v>
      </c>
      <c r="W6" s="279">
        <v>7</v>
      </c>
      <c r="X6" s="279">
        <v>5</v>
      </c>
      <c r="Y6" s="279">
        <v>6</v>
      </c>
      <c r="Z6" s="279">
        <v>16</v>
      </c>
      <c r="AA6" s="279">
        <v>11</v>
      </c>
      <c r="AB6" s="277">
        <f t="shared" si="1"/>
        <v>87</v>
      </c>
      <c r="AC6" s="276">
        <f t="shared" si="7"/>
        <v>0.57999999999999996</v>
      </c>
      <c r="AD6" s="255">
        <f t="shared" si="4"/>
        <v>51.583333333333329</v>
      </c>
      <c r="AJ6"/>
      <c r="AK6"/>
    </row>
    <row r="7" spans="1:37" ht="14.25" customHeight="1" thickBot="1" x14ac:dyDescent="0.25">
      <c r="A7" s="254">
        <v>6</v>
      </c>
      <c r="B7" s="326"/>
      <c r="C7" s="326" t="s">
        <v>578</v>
      </c>
      <c r="D7" s="46">
        <v>18</v>
      </c>
      <c r="E7" s="25">
        <v>11</v>
      </c>
      <c r="F7" s="204">
        <f t="shared" si="2"/>
        <v>29</v>
      </c>
      <c r="G7" s="264">
        <v>20</v>
      </c>
      <c r="H7" s="274">
        <v>34</v>
      </c>
      <c r="I7" s="272">
        <f t="shared" si="5"/>
        <v>71.911111111111111</v>
      </c>
      <c r="J7" s="46">
        <v>30</v>
      </c>
      <c r="K7" s="270">
        <f t="shared" si="3"/>
        <v>0.6</v>
      </c>
      <c r="L7" s="248">
        <v>12</v>
      </c>
      <c r="M7" s="248">
        <v>30</v>
      </c>
      <c r="N7" s="248">
        <v>26</v>
      </c>
      <c r="O7" s="248">
        <v>22</v>
      </c>
      <c r="P7" s="248">
        <v>3</v>
      </c>
      <c r="Q7" s="280">
        <f t="shared" si="0"/>
        <v>93</v>
      </c>
      <c r="R7" s="276">
        <f t="shared" si="6"/>
        <v>0.51666666666666672</v>
      </c>
      <c r="S7" s="279">
        <v>12</v>
      </c>
      <c r="T7" s="279">
        <v>7</v>
      </c>
      <c r="U7" s="279">
        <v>17</v>
      </c>
      <c r="V7" s="279">
        <v>10</v>
      </c>
      <c r="W7" s="279">
        <v>8</v>
      </c>
      <c r="X7" s="279">
        <v>7</v>
      </c>
      <c r="Y7" s="279">
        <v>13</v>
      </c>
      <c r="Z7" s="279">
        <v>22</v>
      </c>
      <c r="AA7" s="279">
        <v>14</v>
      </c>
      <c r="AB7" s="277">
        <f t="shared" si="1"/>
        <v>110</v>
      </c>
      <c r="AC7" s="276">
        <f t="shared" si="7"/>
        <v>0.73333333333333328</v>
      </c>
      <c r="AD7" s="255">
        <f t="shared" si="4"/>
        <v>61.75</v>
      </c>
      <c r="AJ7"/>
      <c r="AK7"/>
    </row>
    <row r="8" spans="1:37" ht="14.25" hidden="1" customHeight="1" thickBot="1" x14ac:dyDescent="0.25">
      <c r="A8" s="253">
        <v>7</v>
      </c>
      <c r="B8" s="326"/>
      <c r="C8" s="326" t="s">
        <v>579</v>
      </c>
      <c r="D8" s="46"/>
      <c r="E8" s="25"/>
      <c r="F8" s="204">
        <f t="shared" si="2"/>
        <v>0</v>
      </c>
      <c r="G8" s="264"/>
      <c r="H8" s="274"/>
      <c r="I8" s="272">
        <f t="shared" si="5"/>
        <v>0</v>
      </c>
      <c r="J8" s="46"/>
      <c r="K8" s="270">
        <f t="shared" si="3"/>
        <v>0</v>
      </c>
      <c r="L8" s="248"/>
      <c r="M8" s="248"/>
      <c r="N8" s="248"/>
      <c r="O8" s="248"/>
      <c r="P8" s="248"/>
      <c r="Q8" s="280">
        <f t="shared" si="0"/>
        <v>0</v>
      </c>
      <c r="R8" s="276">
        <f t="shared" si="6"/>
        <v>0</v>
      </c>
      <c r="S8" s="279"/>
      <c r="T8" s="279"/>
      <c r="U8" s="279"/>
      <c r="V8" s="279"/>
      <c r="W8" s="279"/>
      <c r="X8" s="279"/>
      <c r="Y8" s="279"/>
      <c r="Z8" s="279"/>
      <c r="AA8" s="279"/>
      <c r="AB8" s="277">
        <f t="shared" si="1"/>
        <v>0</v>
      </c>
      <c r="AC8" s="276">
        <f t="shared" si="7"/>
        <v>0</v>
      </c>
      <c r="AD8" s="255">
        <f t="shared" si="4"/>
        <v>0</v>
      </c>
      <c r="AJ8"/>
      <c r="AK8"/>
    </row>
    <row r="9" spans="1:37" ht="14.25" customHeight="1" thickBot="1" x14ac:dyDescent="0.25">
      <c r="A9" s="254">
        <v>8</v>
      </c>
      <c r="B9" s="326"/>
      <c r="C9" s="326" t="s">
        <v>580</v>
      </c>
      <c r="D9" s="46">
        <v>16</v>
      </c>
      <c r="E9" s="25">
        <v>13</v>
      </c>
      <c r="F9" s="204">
        <f t="shared" si="2"/>
        <v>29</v>
      </c>
      <c r="G9" s="264">
        <v>20</v>
      </c>
      <c r="H9" s="274">
        <v>27</v>
      </c>
      <c r="I9" s="272">
        <f t="shared" si="5"/>
        <v>63.51111111111112</v>
      </c>
      <c r="J9" s="46">
        <v>16</v>
      </c>
      <c r="K9" s="270">
        <f t="shared" si="3"/>
        <v>0.32</v>
      </c>
      <c r="L9" s="248">
        <v>18</v>
      </c>
      <c r="M9" s="248">
        <v>35</v>
      </c>
      <c r="N9" s="248">
        <v>38</v>
      </c>
      <c r="O9" s="248">
        <v>20</v>
      </c>
      <c r="P9" s="248">
        <v>1</v>
      </c>
      <c r="Q9" s="280">
        <f t="shared" si="0"/>
        <v>112</v>
      </c>
      <c r="R9" s="276">
        <f t="shared" si="6"/>
        <v>0.62222222222222223</v>
      </c>
      <c r="S9" s="279">
        <v>9</v>
      </c>
      <c r="T9" s="279">
        <v>5</v>
      </c>
      <c r="U9" s="279">
        <v>9</v>
      </c>
      <c r="V9" s="279">
        <v>5</v>
      </c>
      <c r="W9" s="279">
        <v>5</v>
      </c>
      <c r="X9" s="279">
        <v>5</v>
      </c>
      <c r="Y9" s="279">
        <v>9</v>
      </c>
      <c r="Z9" s="279">
        <v>6</v>
      </c>
      <c r="AA9" s="279">
        <v>17</v>
      </c>
      <c r="AB9" s="277">
        <v>72</v>
      </c>
      <c r="AC9" s="276">
        <f t="shared" si="7"/>
        <v>0.48</v>
      </c>
      <c r="AD9" s="255">
        <f t="shared" si="4"/>
        <v>48.177777777777777</v>
      </c>
      <c r="AJ9"/>
      <c r="AK9"/>
    </row>
    <row r="10" spans="1:37" ht="14.25" customHeight="1" thickBot="1" x14ac:dyDescent="0.25">
      <c r="A10" s="253">
        <v>9</v>
      </c>
      <c r="B10" s="326"/>
      <c r="C10" s="326" t="s">
        <v>581</v>
      </c>
      <c r="D10" s="46">
        <v>18</v>
      </c>
      <c r="E10" s="25">
        <v>10</v>
      </c>
      <c r="F10" s="204">
        <f t="shared" si="2"/>
        <v>28</v>
      </c>
      <c r="G10" s="264">
        <v>16</v>
      </c>
      <c r="H10" s="274">
        <v>25</v>
      </c>
      <c r="I10" s="272">
        <f t="shared" si="5"/>
        <v>57.555555555555557</v>
      </c>
      <c r="J10" s="46">
        <v>11</v>
      </c>
      <c r="K10" s="270">
        <f t="shared" si="3"/>
        <v>0.22</v>
      </c>
      <c r="L10" s="248">
        <v>15</v>
      </c>
      <c r="M10" s="248">
        <v>23</v>
      </c>
      <c r="N10" s="248">
        <v>23</v>
      </c>
      <c r="O10" s="248">
        <v>17</v>
      </c>
      <c r="P10" s="248">
        <v>3</v>
      </c>
      <c r="Q10" s="280">
        <f t="shared" si="0"/>
        <v>81</v>
      </c>
      <c r="R10" s="276">
        <f t="shared" si="6"/>
        <v>0.45</v>
      </c>
      <c r="S10" s="279">
        <v>8</v>
      </c>
      <c r="T10" s="279">
        <v>5</v>
      </c>
      <c r="U10" s="279">
        <v>20</v>
      </c>
      <c r="V10" s="279">
        <v>12</v>
      </c>
      <c r="W10" s="279">
        <v>9</v>
      </c>
      <c r="X10" s="279">
        <v>9</v>
      </c>
      <c r="Y10" s="279">
        <v>7</v>
      </c>
      <c r="Z10" s="279">
        <v>14</v>
      </c>
      <c r="AA10" s="279">
        <v>18</v>
      </c>
      <c r="AB10" s="277">
        <f t="shared" si="1"/>
        <v>102</v>
      </c>
      <c r="AC10" s="276">
        <f t="shared" si="7"/>
        <v>0.68</v>
      </c>
      <c r="AD10" s="255">
        <f t="shared" si="4"/>
        <v>46.150000000000006</v>
      </c>
      <c r="AJ10"/>
      <c r="AK10"/>
    </row>
    <row r="11" spans="1:37" ht="14.25" hidden="1" customHeight="1" x14ac:dyDescent="0.2">
      <c r="A11" s="254">
        <v>10</v>
      </c>
      <c r="B11" s="326"/>
      <c r="C11" s="326" t="s">
        <v>582</v>
      </c>
      <c r="D11" s="46"/>
      <c r="E11" s="25"/>
      <c r="F11" s="204">
        <f t="shared" si="2"/>
        <v>0</v>
      </c>
      <c r="G11" s="264"/>
      <c r="H11" s="274"/>
      <c r="I11" s="272">
        <f t="shared" si="5"/>
        <v>0</v>
      </c>
      <c r="J11" s="46"/>
      <c r="K11" s="270">
        <f t="shared" si="3"/>
        <v>0</v>
      </c>
      <c r="L11" s="248"/>
      <c r="M11" s="248"/>
      <c r="N11" s="248"/>
      <c r="O11" s="248"/>
      <c r="P11" s="248"/>
      <c r="Q11" s="280">
        <f t="shared" si="0"/>
        <v>0</v>
      </c>
      <c r="R11" s="276">
        <f t="shared" si="6"/>
        <v>0</v>
      </c>
      <c r="S11" s="279"/>
      <c r="T11" s="279"/>
      <c r="U11" s="279"/>
      <c r="V11" s="279"/>
      <c r="W11" s="279"/>
      <c r="X11" s="279"/>
      <c r="Y11" s="279"/>
      <c r="Z11" s="279"/>
      <c r="AA11" s="279"/>
      <c r="AB11" s="277">
        <f t="shared" si="1"/>
        <v>0</v>
      </c>
      <c r="AC11" s="276">
        <f t="shared" si="7"/>
        <v>0</v>
      </c>
      <c r="AD11" s="255">
        <f t="shared" si="4"/>
        <v>0</v>
      </c>
      <c r="AJ11"/>
      <c r="AK11"/>
    </row>
    <row r="12" spans="1:37" ht="14.25" customHeight="1" thickBot="1" x14ac:dyDescent="0.25">
      <c r="A12" s="253">
        <v>11</v>
      </c>
      <c r="B12" s="326"/>
      <c r="C12" s="326" t="s">
        <v>583</v>
      </c>
      <c r="D12" s="46">
        <v>10</v>
      </c>
      <c r="E12" s="25">
        <v>4</v>
      </c>
      <c r="F12" s="204">
        <f t="shared" si="2"/>
        <v>14</v>
      </c>
      <c r="G12" s="264">
        <v>20</v>
      </c>
      <c r="H12" s="274">
        <v>22</v>
      </c>
      <c r="I12" s="272">
        <f t="shared" si="5"/>
        <v>49.177777777777777</v>
      </c>
      <c r="J12" s="46">
        <v>14</v>
      </c>
      <c r="K12" s="270">
        <f t="shared" si="3"/>
        <v>0.28000000000000003</v>
      </c>
      <c r="L12" s="248">
        <v>13</v>
      </c>
      <c r="M12" s="248">
        <v>17</v>
      </c>
      <c r="N12" s="248">
        <v>23</v>
      </c>
      <c r="O12" s="248">
        <v>1</v>
      </c>
      <c r="P12" s="248">
        <v>0</v>
      </c>
      <c r="Q12" s="280">
        <f t="shared" si="0"/>
        <v>54</v>
      </c>
      <c r="R12" s="276">
        <f t="shared" si="6"/>
        <v>0.3</v>
      </c>
      <c r="S12" s="279">
        <v>8</v>
      </c>
      <c r="T12" s="279">
        <v>7</v>
      </c>
      <c r="U12" s="279">
        <v>16</v>
      </c>
      <c r="V12" s="279">
        <v>3</v>
      </c>
      <c r="W12" s="279">
        <v>9</v>
      </c>
      <c r="X12" s="279">
        <v>3</v>
      </c>
      <c r="Y12" s="279">
        <v>7</v>
      </c>
      <c r="Z12" s="279">
        <v>10</v>
      </c>
      <c r="AA12" s="279">
        <v>8</v>
      </c>
      <c r="AB12" s="277">
        <f t="shared" si="1"/>
        <v>71</v>
      </c>
      <c r="AC12" s="276">
        <f t="shared" si="7"/>
        <v>0.47333333333333333</v>
      </c>
      <c r="AD12" s="255">
        <f t="shared" si="4"/>
        <v>35.466666666666669</v>
      </c>
      <c r="AJ12"/>
      <c r="AK12"/>
    </row>
    <row r="13" spans="1:37" ht="14.25" hidden="1" customHeight="1" thickBot="1" x14ac:dyDescent="0.25">
      <c r="A13" s="254">
        <v>12</v>
      </c>
      <c r="B13" s="326"/>
      <c r="C13" s="326" t="s">
        <v>584</v>
      </c>
      <c r="D13" s="46"/>
      <c r="E13" s="25"/>
      <c r="F13" s="204">
        <f t="shared" si="2"/>
        <v>0</v>
      </c>
      <c r="G13" s="264"/>
      <c r="H13" s="274"/>
      <c r="I13" s="272">
        <f t="shared" si="5"/>
        <v>0</v>
      </c>
      <c r="J13" s="46"/>
      <c r="K13" s="270">
        <f t="shared" si="3"/>
        <v>0</v>
      </c>
      <c r="L13" s="248"/>
      <c r="M13" s="248"/>
      <c r="N13" s="248"/>
      <c r="O13" s="248"/>
      <c r="P13" s="248"/>
      <c r="Q13" s="280">
        <f t="shared" si="0"/>
        <v>0</v>
      </c>
      <c r="R13" s="276">
        <f t="shared" si="6"/>
        <v>0</v>
      </c>
      <c r="S13" s="279"/>
      <c r="T13" s="279"/>
      <c r="U13" s="279"/>
      <c r="V13" s="279"/>
      <c r="W13" s="279"/>
      <c r="X13" s="279"/>
      <c r="Y13" s="279"/>
      <c r="Z13" s="279"/>
      <c r="AA13" s="279"/>
      <c r="AB13" s="277">
        <f t="shared" si="1"/>
        <v>0</v>
      </c>
      <c r="AC13" s="276">
        <f t="shared" si="7"/>
        <v>0</v>
      </c>
      <c r="AD13" s="255">
        <f t="shared" si="4"/>
        <v>0</v>
      </c>
      <c r="AJ13"/>
      <c r="AK13"/>
    </row>
    <row r="14" spans="1:37" ht="14.25" hidden="1" customHeight="1" thickBot="1" x14ac:dyDescent="0.25">
      <c r="A14" s="253">
        <v>13</v>
      </c>
      <c r="B14" s="326"/>
      <c r="C14" s="326" t="s">
        <v>585</v>
      </c>
      <c r="D14" s="46"/>
      <c r="E14" s="25"/>
      <c r="F14" s="204">
        <f t="shared" si="2"/>
        <v>0</v>
      </c>
      <c r="G14" s="264"/>
      <c r="H14" s="274"/>
      <c r="I14" s="272">
        <f t="shared" si="5"/>
        <v>0</v>
      </c>
      <c r="J14" s="46"/>
      <c r="K14" s="270">
        <f t="shared" si="3"/>
        <v>0</v>
      </c>
      <c r="L14" s="248"/>
      <c r="M14" s="248"/>
      <c r="N14" s="248"/>
      <c r="O14" s="248"/>
      <c r="P14" s="248"/>
      <c r="Q14" s="280">
        <f t="shared" si="0"/>
        <v>0</v>
      </c>
      <c r="R14" s="276">
        <f t="shared" si="6"/>
        <v>0</v>
      </c>
      <c r="S14" s="279"/>
      <c r="T14" s="279"/>
      <c r="U14" s="279"/>
      <c r="V14" s="279"/>
      <c r="W14" s="279"/>
      <c r="X14" s="279"/>
      <c r="Y14" s="279"/>
      <c r="Z14" s="279"/>
      <c r="AA14" s="279"/>
      <c r="AB14" s="277">
        <f t="shared" si="1"/>
        <v>0</v>
      </c>
      <c r="AC14" s="276">
        <f t="shared" si="7"/>
        <v>0</v>
      </c>
      <c r="AD14" s="255">
        <f t="shared" si="4"/>
        <v>0</v>
      </c>
      <c r="AJ14"/>
      <c r="AK14"/>
    </row>
    <row r="15" spans="1:37" ht="14.25" customHeight="1" thickBot="1" x14ac:dyDescent="0.25">
      <c r="A15" s="254">
        <v>14</v>
      </c>
      <c r="B15" s="326"/>
      <c r="C15" s="326" t="s">
        <v>586</v>
      </c>
      <c r="D15" s="46">
        <v>16</v>
      </c>
      <c r="E15" s="25">
        <v>7</v>
      </c>
      <c r="F15" s="204">
        <f t="shared" si="2"/>
        <v>23</v>
      </c>
      <c r="G15" s="264">
        <v>8</v>
      </c>
      <c r="H15" s="274">
        <v>27</v>
      </c>
      <c r="I15" s="272">
        <f t="shared" si="5"/>
        <v>51.177777777777784</v>
      </c>
      <c r="J15" s="46">
        <v>18</v>
      </c>
      <c r="K15" s="270">
        <f t="shared" si="3"/>
        <v>0.36</v>
      </c>
      <c r="L15" s="251">
        <v>8</v>
      </c>
      <c r="M15" s="248">
        <v>32</v>
      </c>
      <c r="N15" s="248">
        <v>17</v>
      </c>
      <c r="O15" s="248">
        <v>22</v>
      </c>
      <c r="P15" s="248">
        <v>1</v>
      </c>
      <c r="Q15" s="280">
        <f t="shared" si="0"/>
        <v>80</v>
      </c>
      <c r="R15" s="276">
        <f t="shared" si="6"/>
        <v>0.44444444444444442</v>
      </c>
      <c r="S15" s="279">
        <v>9</v>
      </c>
      <c r="T15" s="279">
        <v>4</v>
      </c>
      <c r="U15" s="279">
        <v>18</v>
      </c>
      <c r="V15" s="279">
        <v>12</v>
      </c>
      <c r="W15" s="279">
        <v>9</v>
      </c>
      <c r="X15" s="279">
        <v>8</v>
      </c>
      <c r="Y15" s="279">
        <v>10</v>
      </c>
      <c r="Z15" s="279">
        <v>24</v>
      </c>
      <c r="AA15" s="279">
        <v>18</v>
      </c>
      <c r="AB15" s="277">
        <f t="shared" si="1"/>
        <v>112</v>
      </c>
      <c r="AC15" s="276">
        <f t="shared" si="7"/>
        <v>0.7466666666666667</v>
      </c>
      <c r="AD15" s="255">
        <f t="shared" si="4"/>
        <v>52.488888888888887</v>
      </c>
      <c r="AJ15"/>
      <c r="AK15"/>
    </row>
    <row r="16" spans="1:37" ht="14.25" hidden="1" customHeight="1" thickBot="1" x14ac:dyDescent="0.25">
      <c r="A16" s="253">
        <v>15</v>
      </c>
      <c r="B16" s="326"/>
      <c r="C16" s="326" t="s">
        <v>587</v>
      </c>
      <c r="D16" s="46"/>
      <c r="E16" s="25"/>
      <c r="F16" s="204">
        <f t="shared" si="2"/>
        <v>0</v>
      </c>
      <c r="G16" s="264"/>
      <c r="H16" s="274"/>
      <c r="I16" s="272">
        <f t="shared" si="5"/>
        <v>0</v>
      </c>
      <c r="J16" s="46"/>
      <c r="K16" s="270">
        <f t="shared" si="3"/>
        <v>0</v>
      </c>
      <c r="L16" s="248"/>
      <c r="M16" s="248"/>
      <c r="N16" s="248"/>
      <c r="O16" s="248"/>
      <c r="P16" s="248"/>
      <c r="Q16" s="280">
        <f t="shared" si="0"/>
        <v>0</v>
      </c>
      <c r="R16" s="276">
        <f t="shared" si="6"/>
        <v>0</v>
      </c>
      <c r="S16" s="279"/>
      <c r="T16" s="279"/>
      <c r="U16" s="279"/>
      <c r="V16" s="279"/>
      <c r="W16" s="279"/>
      <c r="X16" s="279"/>
      <c r="Y16" s="279"/>
      <c r="Z16" s="279"/>
      <c r="AA16" s="279"/>
      <c r="AB16" s="277">
        <f t="shared" si="1"/>
        <v>0</v>
      </c>
      <c r="AC16" s="276">
        <f t="shared" si="7"/>
        <v>0</v>
      </c>
      <c r="AD16" s="255">
        <f t="shared" si="4"/>
        <v>0</v>
      </c>
      <c r="AJ16"/>
      <c r="AK16"/>
    </row>
    <row r="17" spans="1:49" ht="14.25" hidden="1" customHeight="1" thickBot="1" x14ac:dyDescent="0.25">
      <c r="A17" s="254">
        <v>16</v>
      </c>
      <c r="B17" s="326"/>
      <c r="C17" s="326" t="s">
        <v>588</v>
      </c>
      <c r="D17" s="46"/>
      <c r="E17" s="25"/>
      <c r="F17" s="204">
        <f t="shared" si="2"/>
        <v>0</v>
      </c>
      <c r="G17" s="264"/>
      <c r="H17" s="274"/>
      <c r="I17" s="272">
        <f t="shared" si="5"/>
        <v>0</v>
      </c>
      <c r="J17" s="46"/>
      <c r="K17" s="270">
        <f t="shared" si="3"/>
        <v>0</v>
      </c>
      <c r="L17" s="248"/>
      <c r="M17" s="248"/>
      <c r="N17" s="248"/>
      <c r="O17" s="248"/>
      <c r="P17" s="248"/>
      <c r="Q17" s="280">
        <f t="shared" si="0"/>
        <v>0</v>
      </c>
      <c r="R17" s="276">
        <f t="shared" si="6"/>
        <v>0</v>
      </c>
      <c r="S17" s="279"/>
      <c r="T17" s="279"/>
      <c r="U17" s="279"/>
      <c r="V17" s="279"/>
      <c r="W17" s="279"/>
      <c r="X17" s="279"/>
      <c r="Y17" s="279"/>
      <c r="Z17" s="279"/>
      <c r="AA17" s="279"/>
      <c r="AB17" s="277">
        <f t="shared" si="1"/>
        <v>0</v>
      </c>
      <c r="AC17" s="276">
        <f t="shared" si="7"/>
        <v>0</v>
      </c>
      <c r="AD17" s="255">
        <f t="shared" si="4"/>
        <v>0</v>
      </c>
      <c r="AJ17"/>
      <c r="AK17"/>
    </row>
    <row r="18" spans="1:49" ht="14.25" hidden="1" customHeight="1" thickBot="1" x14ac:dyDescent="0.25">
      <c r="A18" s="253">
        <v>17</v>
      </c>
      <c r="B18" s="326"/>
      <c r="C18" s="326" t="s">
        <v>589</v>
      </c>
      <c r="D18" s="46"/>
      <c r="E18" s="25"/>
      <c r="F18" s="204">
        <f t="shared" si="2"/>
        <v>0</v>
      </c>
      <c r="G18" s="264"/>
      <c r="H18" s="274"/>
      <c r="I18" s="272">
        <f t="shared" si="5"/>
        <v>0</v>
      </c>
      <c r="J18" s="46"/>
      <c r="K18" s="270">
        <f t="shared" si="3"/>
        <v>0</v>
      </c>
      <c r="L18" s="248"/>
      <c r="M18" s="248"/>
      <c r="N18" s="248"/>
      <c r="O18" s="248"/>
      <c r="P18" s="248"/>
      <c r="Q18" s="280">
        <f t="shared" si="0"/>
        <v>0</v>
      </c>
      <c r="R18" s="276">
        <f t="shared" si="6"/>
        <v>0</v>
      </c>
      <c r="S18" s="279"/>
      <c r="T18" s="279"/>
      <c r="U18" s="279"/>
      <c r="V18" s="279"/>
      <c r="W18" s="279"/>
      <c r="X18" s="279"/>
      <c r="Y18" s="279"/>
      <c r="Z18" s="279"/>
      <c r="AA18" s="279"/>
      <c r="AB18" s="277">
        <f t="shared" si="1"/>
        <v>0</v>
      </c>
      <c r="AC18" s="276">
        <f t="shared" si="7"/>
        <v>0</v>
      </c>
      <c r="AD18" s="255">
        <f t="shared" si="4"/>
        <v>0</v>
      </c>
      <c r="AJ18"/>
      <c r="AK18"/>
    </row>
    <row r="19" spans="1:49" ht="14.25" customHeight="1" thickBot="1" x14ac:dyDescent="0.25">
      <c r="A19" s="254">
        <v>18</v>
      </c>
      <c r="B19" s="326"/>
      <c r="C19" s="326" t="s">
        <v>590</v>
      </c>
      <c r="D19" s="46">
        <v>17</v>
      </c>
      <c r="E19" s="25">
        <v>10</v>
      </c>
      <c r="F19" s="204">
        <f t="shared" si="2"/>
        <v>27</v>
      </c>
      <c r="G19" s="264">
        <v>10</v>
      </c>
      <c r="H19" s="274">
        <v>35</v>
      </c>
      <c r="I19" s="272">
        <f t="shared" si="5"/>
        <v>64.5</v>
      </c>
      <c r="J19" s="46">
        <v>22</v>
      </c>
      <c r="K19" s="270">
        <f t="shared" si="3"/>
        <v>0.44</v>
      </c>
      <c r="L19" s="248">
        <v>18</v>
      </c>
      <c r="M19" s="248">
        <v>36</v>
      </c>
      <c r="N19" s="248">
        <v>31</v>
      </c>
      <c r="O19" s="248">
        <v>16</v>
      </c>
      <c r="P19" s="248">
        <v>0</v>
      </c>
      <c r="Q19" s="280">
        <f t="shared" si="0"/>
        <v>101</v>
      </c>
      <c r="R19" s="276">
        <f t="shared" si="6"/>
        <v>0.56111111111111112</v>
      </c>
      <c r="S19" s="279">
        <v>9</v>
      </c>
      <c r="T19" s="279">
        <v>7</v>
      </c>
      <c r="U19" s="279">
        <v>10</v>
      </c>
      <c r="V19" s="279">
        <v>5</v>
      </c>
      <c r="W19" s="279">
        <v>4</v>
      </c>
      <c r="X19" s="279">
        <v>3</v>
      </c>
      <c r="Y19" s="279">
        <v>9</v>
      </c>
      <c r="Z19" s="279">
        <v>8</v>
      </c>
      <c r="AA19" s="279">
        <v>9</v>
      </c>
      <c r="AB19" s="277">
        <f t="shared" si="1"/>
        <v>64</v>
      </c>
      <c r="AC19" s="276">
        <f t="shared" si="7"/>
        <v>0.42666666666666669</v>
      </c>
      <c r="AD19" s="255">
        <f t="shared" si="4"/>
        <v>47.772222222222226</v>
      </c>
      <c r="AJ19"/>
      <c r="AK19"/>
    </row>
    <row r="20" spans="1:49" ht="14.25" hidden="1" customHeight="1" x14ac:dyDescent="0.2">
      <c r="A20" s="253">
        <v>19</v>
      </c>
      <c r="B20" s="326"/>
      <c r="C20" s="326" t="s">
        <v>591</v>
      </c>
      <c r="D20" s="46"/>
      <c r="E20" s="25"/>
      <c r="F20" s="204">
        <f t="shared" si="2"/>
        <v>0</v>
      </c>
      <c r="G20" s="264"/>
      <c r="H20" s="274"/>
      <c r="I20" s="272">
        <f t="shared" si="5"/>
        <v>0</v>
      </c>
      <c r="J20" s="46"/>
      <c r="K20" s="270">
        <f t="shared" si="3"/>
        <v>0</v>
      </c>
      <c r="L20" s="248"/>
      <c r="M20" s="248"/>
      <c r="N20" s="248"/>
      <c r="O20" s="248"/>
      <c r="P20" s="248"/>
      <c r="Q20" s="280">
        <f t="shared" si="0"/>
        <v>0</v>
      </c>
      <c r="R20" s="276">
        <f t="shared" si="6"/>
        <v>0</v>
      </c>
      <c r="S20" s="279"/>
      <c r="T20" s="279"/>
      <c r="U20" s="279"/>
      <c r="V20" s="279"/>
      <c r="W20" s="279"/>
      <c r="X20" s="279"/>
      <c r="Y20" s="279"/>
      <c r="Z20" s="279"/>
      <c r="AA20" s="279"/>
      <c r="AB20" s="277">
        <f t="shared" si="1"/>
        <v>0</v>
      </c>
      <c r="AC20" s="276">
        <f t="shared" si="7"/>
        <v>0</v>
      </c>
      <c r="AD20" s="255">
        <f t="shared" si="4"/>
        <v>0</v>
      </c>
      <c r="AJ20"/>
      <c r="AK20"/>
    </row>
    <row r="21" spans="1:49" ht="14.25" hidden="1" customHeight="1" x14ac:dyDescent="0.2">
      <c r="A21" s="254">
        <v>20</v>
      </c>
      <c r="B21" s="326"/>
      <c r="C21" s="326" t="s">
        <v>592</v>
      </c>
      <c r="D21" s="46"/>
      <c r="E21" s="25"/>
      <c r="F21" s="204">
        <f t="shared" si="2"/>
        <v>0</v>
      </c>
      <c r="G21" s="264"/>
      <c r="H21" s="274"/>
      <c r="I21" s="272">
        <f t="shared" si="5"/>
        <v>0</v>
      </c>
      <c r="J21" s="46"/>
      <c r="K21" s="270">
        <f t="shared" si="3"/>
        <v>0</v>
      </c>
      <c r="L21" s="248"/>
      <c r="M21" s="248"/>
      <c r="N21" s="248"/>
      <c r="O21" s="248"/>
      <c r="P21" s="248"/>
      <c r="Q21" s="280">
        <f t="shared" si="0"/>
        <v>0</v>
      </c>
      <c r="R21" s="276">
        <f t="shared" si="6"/>
        <v>0</v>
      </c>
      <c r="S21" s="279"/>
      <c r="T21" s="279"/>
      <c r="U21" s="279"/>
      <c r="V21" s="279"/>
      <c r="W21" s="279"/>
      <c r="X21" s="279"/>
      <c r="Y21" s="279"/>
      <c r="Z21" s="279"/>
      <c r="AA21" s="279"/>
      <c r="AB21" s="277">
        <f t="shared" si="1"/>
        <v>0</v>
      </c>
      <c r="AC21" s="276">
        <f t="shared" si="7"/>
        <v>0</v>
      </c>
      <c r="AD21" s="255">
        <f t="shared" si="4"/>
        <v>0</v>
      </c>
      <c r="AJ21"/>
      <c r="AK21"/>
    </row>
    <row r="22" spans="1:49" ht="14.25" customHeight="1" thickBot="1" x14ac:dyDescent="0.25">
      <c r="A22" s="253">
        <v>21</v>
      </c>
      <c r="B22" s="326"/>
      <c r="C22" s="326" t="s">
        <v>593</v>
      </c>
      <c r="D22" s="46">
        <v>17</v>
      </c>
      <c r="E22" s="25">
        <v>15</v>
      </c>
      <c r="F22" s="204">
        <f t="shared" si="2"/>
        <v>32</v>
      </c>
      <c r="G22" s="264">
        <v>18</v>
      </c>
      <c r="H22" s="274">
        <v>34</v>
      </c>
      <c r="I22" s="272">
        <f t="shared" si="5"/>
        <v>72.077777777777783</v>
      </c>
      <c r="J22" s="46">
        <v>30</v>
      </c>
      <c r="K22" s="270">
        <f t="shared" si="3"/>
        <v>0.6</v>
      </c>
      <c r="L22" s="248">
        <v>16</v>
      </c>
      <c r="M22" s="248">
        <v>37</v>
      </c>
      <c r="N22" s="248">
        <v>44</v>
      </c>
      <c r="O22" s="248">
        <v>24</v>
      </c>
      <c r="P22" s="248">
        <v>12</v>
      </c>
      <c r="Q22" s="280">
        <f t="shared" si="0"/>
        <v>133</v>
      </c>
      <c r="R22" s="276">
        <f t="shared" si="6"/>
        <v>0.73888888888888893</v>
      </c>
      <c r="S22" s="279">
        <v>8</v>
      </c>
      <c r="T22" s="279">
        <v>8</v>
      </c>
      <c r="U22" s="279">
        <v>22</v>
      </c>
      <c r="V22" s="279">
        <v>9</v>
      </c>
      <c r="W22" s="279">
        <v>10</v>
      </c>
      <c r="X22" s="279">
        <v>5</v>
      </c>
      <c r="Y22" s="279">
        <v>11</v>
      </c>
      <c r="Z22" s="279">
        <v>25</v>
      </c>
      <c r="AA22" s="279">
        <v>16</v>
      </c>
      <c r="AB22" s="277">
        <f t="shared" si="1"/>
        <v>114</v>
      </c>
      <c r="AC22" s="276">
        <f t="shared" si="7"/>
        <v>0.76</v>
      </c>
      <c r="AD22" s="255">
        <f t="shared" si="4"/>
        <v>70.461111111111109</v>
      </c>
      <c r="AJ22"/>
      <c r="AK22"/>
    </row>
    <row r="23" spans="1:49" ht="14.25" customHeight="1" thickBot="1" x14ac:dyDescent="0.25">
      <c r="A23" s="254">
        <v>22</v>
      </c>
      <c r="B23" s="326"/>
      <c r="C23" s="326" t="s">
        <v>594</v>
      </c>
      <c r="D23" s="46">
        <v>15</v>
      </c>
      <c r="E23" s="25">
        <v>12</v>
      </c>
      <c r="F23" s="204">
        <f t="shared" si="2"/>
        <v>27</v>
      </c>
      <c r="G23" s="264">
        <v>15</v>
      </c>
      <c r="H23" s="274">
        <v>17</v>
      </c>
      <c r="I23" s="272">
        <f t="shared" si="5"/>
        <v>46.650000000000006</v>
      </c>
      <c r="J23" s="46">
        <v>14</v>
      </c>
      <c r="K23" s="270">
        <f t="shared" si="3"/>
        <v>0.28000000000000003</v>
      </c>
      <c r="L23" s="248">
        <v>16</v>
      </c>
      <c r="M23" s="248">
        <v>10</v>
      </c>
      <c r="N23" s="248">
        <v>11</v>
      </c>
      <c r="O23" s="248">
        <v>1</v>
      </c>
      <c r="P23" s="248">
        <v>0</v>
      </c>
      <c r="Q23" s="280">
        <f t="shared" si="0"/>
        <v>38</v>
      </c>
      <c r="R23" s="276">
        <f t="shared" si="6"/>
        <v>0.21111111111111111</v>
      </c>
      <c r="S23" s="279">
        <v>10</v>
      </c>
      <c r="T23" s="279">
        <v>6</v>
      </c>
      <c r="U23" s="279">
        <v>15</v>
      </c>
      <c r="V23" s="279">
        <v>6</v>
      </c>
      <c r="W23" s="279">
        <v>4</v>
      </c>
      <c r="X23" s="279">
        <v>5</v>
      </c>
      <c r="Y23" s="279">
        <v>5</v>
      </c>
      <c r="Z23" s="279">
        <v>9</v>
      </c>
      <c r="AA23" s="279">
        <v>10</v>
      </c>
      <c r="AB23" s="277">
        <f t="shared" si="1"/>
        <v>70</v>
      </c>
      <c r="AC23" s="276">
        <f t="shared" si="7"/>
        <v>0.46666666666666667</v>
      </c>
      <c r="AD23" s="255">
        <f t="shared" si="4"/>
        <v>32.12222222222222</v>
      </c>
      <c r="AJ23"/>
      <c r="AK23"/>
    </row>
    <row r="24" spans="1:49" ht="14.25" customHeight="1" thickBot="1" x14ac:dyDescent="0.25">
      <c r="A24" s="253">
        <v>23</v>
      </c>
      <c r="B24" s="326"/>
      <c r="C24" s="326" t="s">
        <v>595</v>
      </c>
      <c r="D24" s="46">
        <v>10</v>
      </c>
      <c r="E24" s="25">
        <v>15</v>
      </c>
      <c r="F24" s="204">
        <f t="shared" si="2"/>
        <v>25</v>
      </c>
      <c r="G24" s="264">
        <v>19</v>
      </c>
      <c r="H24" s="274">
        <v>27</v>
      </c>
      <c r="I24" s="272">
        <f t="shared" si="5"/>
        <v>60.538888888888891</v>
      </c>
      <c r="J24" s="46">
        <v>25</v>
      </c>
      <c r="K24" s="270">
        <f t="shared" si="3"/>
        <v>0.5</v>
      </c>
      <c r="L24" s="248">
        <v>18</v>
      </c>
      <c r="M24" s="248">
        <v>28</v>
      </c>
      <c r="N24" s="248">
        <v>24</v>
      </c>
      <c r="O24" s="248">
        <v>10</v>
      </c>
      <c r="P24" s="248">
        <v>7</v>
      </c>
      <c r="Q24" s="280">
        <f t="shared" si="0"/>
        <v>87</v>
      </c>
      <c r="R24" s="276">
        <f t="shared" si="6"/>
        <v>0.48333333333333334</v>
      </c>
      <c r="S24" s="279">
        <v>7</v>
      </c>
      <c r="T24" s="279">
        <v>10</v>
      </c>
      <c r="U24" s="279">
        <v>21</v>
      </c>
      <c r="V24" s="279">
        <v>11</v>
      </c>
      <c r="W24" s="279">
        <v>9</v>
      </c>
      <c r="X24" s="279">
        <v>9</v>
      </c>
      <c r="Y24" s="279">
        <v>10</v>
      </c>
      <c r="Z24" s="279">
        <v>27</v>
      </c>
      <c r="AA24" s="279">
        <v>17</v>
      </c>
      <c r="AB24" s="277">
        <f t="shared" si="1"/>
        <v>121</v>
      </c>
      <c r="AC24" s="276">
        <f t="shared" si="7"/>
        <v>0.80666666666666664</v>
      </c>
      <c r="AD24" s="255">
        <f t="shared" si="4"/>
        <v>60.150000000000006</v>
      </c>
      <c r="AJ24"/>
      <c r="AK24"/>
    </row>
    <row r="25" spans="1:49" ht="14.25" customHeight="1" thickBot="1" x14ac:dyDescent="0.25">
      <c r="A25" s="254">
        <v>24</v>
      </c>
      <c r="B25" s="326"/>
      <c r="C25" s="326" t="s">
        <v>596</v>
      </c>
      <c r="D25" s="46">
        <v>13</v>
      </c>
      <c r="E25" s="25">
        <v>10</v>
      </c>
      <c r="F25" s="204">
        <f t="shared" si="2"/>
        <v>23</v>
      </c>
      <c r="G25" s="264">
        <v>12</v>
      </c>
      <c r="H25" s="274">
        <v>34</v>
      </c>
      <c r="I25" s="272">
        <f t="shared" si="5"/>
        <v>62.577777777777783</v>
      </c>
      <c r="J25" s="46">
        <v>25</v>
      </c>
      <c r="K25" s="270">
        <f t="shared" si="3"/>
        <v>0.5</v>
      </c>
      <c r="L25" s="248">
        <v>19</v>
      </c>
      <c r="M25" s="248">
        <v>21</v>
      </c>
      <c r="N25" s="248">
        <v>30</v>
      </c>
      <c r="O25" s="248">
        <v>24</v>
      </c>
      <c r="P25" s="248">
        <v>2</v>
      </c>
      <c r="Q25" s="280">
        <f>L25+M25+N25+O25+P25</f>
        <v>96</v>
      </c>
      <c r="R25" s="276">
        <f t="shared" si="6"/>
        <v>0.53333333333333333</v>
      </c>
      <c r="S25" s="279">
        <v>7</v>
      </c>
      <c r="T25" s="279">
        <v>5</v>
      </c>
      <c r="U25" s="279">
        <v>16</v>
      </c>
      <c r="V25" s="279">
        <v>2</v>
      </c>
      <c r="W25" s="279">
        <v>1</v>
      </c>
      <c r="X25" s="279">
        <v>4</v>
      </c>
      <c r="Y25" s="279">
        <v>10</v>
      </c>
      <c r="Z25" s="279">
        <v>12</v>
      </c>
      <c r="AA25" s="279">
        <v>17</v>
      </c>
      <c r="AB25" s="277">
        <f t="shared" si="1"/>
        <v>74</v>
      </c>
      <c r="AC25" s="276">
        <f t="shared" si="7"/>
        <v>0.49333333333333335</v>
      </c>
      <c r="AD25" s="255">
        <f t="shared" si="4"/>
        <v>50.933333333333337</v>
      </c>
      <c r="AJ25"/>
      <c r="AK25"/>
    </row>
    <row r="26" spans="1:49" ht="14.25" hidden="1" customHeight="1" x14ac:dyDescent="0.2">
      <c r="A26" s="253">
        <v>25</v>
      </c>
      <c r="B26" s="326"/>
      <c r="C26" s="326" t="s">
        <v>597</v>
      </c>
      <c r="D26" s="46"/>
      <c r="E26" s="25"/>
      <c r="F26" s="204">
        <f t="shared" si="2"/>
        <v>0</v>
      </c>
      <c r="G26" s="264"/>
      <c r="H26" s="274"/>
      <c r="I26" s="272">
        <f t="shared" si="5"/>
        <v>0</v>
      </c>
      <c r="J26" s="46"/>
      <c r="K26" s="270">
        <f t="shared" si="3"/>
        <v>0</v>
      </c>
      <c r="L26" s="248"/>
      <c r="M26" s="248"/>
      <c r="N26" s="248"/>
      <c r="O26" s="248"/>
      <c r="P26" s="248"/>
      <c r="Q26" s="280">
        <f t="shared" si="0"/>
        <v>0</v>
      </c>
      <c r="R26" s="276">
        <f t="shared" si="6"/>
        <v>0</v>
      </c>
      <c r="S26" s="279"/>
      <c r="T26" s="279"/>
      <c r="U26" s="279"/>
      <c r="V26" s="279"/>
      <c r="W26" s="279"/>
      <c r="X26" s="279"/>
      <c r="Y26" s="279"/>
      <c r="Z26" s="279"/>
      <c r="AA26" s="279"/>
      <c r="AB26" s="277">
        <f t="shared" si="1"/>
        <v>0</v>
      </c>
      <c r="AC26" s="276">
        <f t="shared" si="7"/>
        <v>0</v>
      </c>
      <c r="AD26" s="255">
        <f t="shared" si="4"/>
        <v>0</v>
      </c>
      <c r="AJ26"/>
      <c r="AK26"/>
    </row>
    <row r="27" spans="1:49" ht="14.25" customHeight="1" thickBot="1" x14ac:dyDescent="0.25">
      <c r="A27" s="254">
        <v>26</v>
      </c>
      <c r="B27" s="326"/>
      <c r="C27" s="326" t="s">
        <v>598</v>
      </c>
      <c r="D27" s="46">
        <v>20</v>
      </c>
      <c r="E27" s="25">
        <v>9</v>
      </c>
      <c r="F27" s="204">
        <f t="shared" si="2"/>
        <v>29</v>
      </c>
      <c r="G27" s="264">
        <v>13</v>
      </c>
      <c r="H27" s="274">
        <v>21</v>
      </c>
      <c r="I27" s="272">
        <f t="shared" si="5"/>
        <v>51.06111111111111</v>
      </c>
      <c r="J27" s="46">
        <v>27</v>
      </c>
      <c r="K27" s="270">
        <f t="shared" si="3"/>
        <v>0.54</v>
      </c>
      <c r="L27" s="248">
        <v>13</v>
      </c>
      <c r="M27" s="248">
        <v>35</v>
      </c>
      <c r="N27" s="248">
        <v>18</v>
      </c>
      <c r="O27" s="248">
        <v>17</v>
      </c>
      <c r="P27" s="248">
        <v>10</v>
      </c>
      <c r="Q27" s="280">
        <f t="shared" si="0"/>
        <v>93</v>
      </c>
      <c r="R27" s="276">
        <f t="shared" si="6"/>
        <v>0.51666666666666672</v>
      </c>
      <c r="S27" s="279">
        <v>12</v>
      </c>
      <c r="T27" s="279">
        <v>7</v>
      </c>
      <c r="U27" s="279">
        <v>19</v>
      </c>
      <c r="V27" s="279">
        <v>10</v>
      </c>
      <c r="W27" s="279">
        <v>4</v>
      </c>
      <c r="X27" s="279">
        <v>8</v>
      </c>
      <c r="Y27" s="279">
        <v>9</v>
      </c>
      <c r="Z27" s="279">
        <v>21</v>
      </c>
      <c r="AA27" s="279">
        <v>16</v>
      </c>
      <c r="AB27" s="277">
        <f t="shared" si="1"/>
        <v>106</v>
      </c>
      <c r="AC27" s="276">
        <f t="shared" si="7"/>
        <v>0.70666666666666667</v>
      </c>
      <c r="AD27" s="255">
        <f t="shared" si="4"/>
        <v>59.016666666666673</v>
      </c>
      <c r="AJ27"/>
      <c r="AK27"/>
    </row>
    <row r="28" spans="1:49" ht="14.25" customHeight="1" thickBot="1" x14ac:dyDescent="0.25">
      <c r="A28" s="253">
        <v>27</v>
      </c>
      <c r="B28" s="326"/>
      <c r="C28" s="326" t="s">
        <v>599</v>
      </c>
      <c r="D28" s="46">
        <v>14</v>
      </c>
      <c r="E28" s="25">
        <v>15</v>
      </c>
      <c r="F28" s="204">
        <f t="shared" si="2"/>
        <v>29</v>
      </c>
      <c r="G28" s="264">
        <v>15</v>
      </c>
      <c r="H28" s="274">
        <v>44</v>
      </c>
      <c r="I28" s="272">
        <f t="shared" si="5"/>
        <v>80.161111111111111</v>
      </c>
      <c r="J28" s="46">
        <v>40</v>
      </c>
      <c r="K28" s="270">
        <f t="shared" si="3"/>
        <v>0.8</v>
      </c>
      <c r="L28" s="248">
        <v>17</v>
      </c>
      <c r="M28" s="248">
        <v>47</v>
      </c>
      <c r="N28" s="248">
        <v>33</v>
      </c>
      <c r="O28" s="248">
        <v>13</v>
      </c>
      <c r="P28" s="248">
        <v>1</v>
      </c>
      <c r="Q28" s="280">
        <f t="shared" si="0"/>
        <v>111</v>
      </c>
      <c r="R28" s="276">
        <f t="shared" si="6"/>
        <v>0.6166666666666667</v>
      </c>
      <c r="S28" s="279">
        <v>10</v>
      </c>
      <c r="T28" s="279">
        <v>6</v>
      </c>
      <c r="U28" s="279">
        <v>22</v>
      </c>
      <c r="V28" s="279">
        <v>7</v>
      </c>
      <c r="W28" s="279">
        <v>2</v>
      </c>
      <c r="X28" s="279">
        <v>5</v>
      </c>
      <c r="Y28" s="279">
        <v>10</v>
      </c>
      <c r="Z28" s="279">
        <v>13</v>
      </c>
      <c r="AA28" s="279">
        <v>10</v>
      </c>
      <c r="AB28" s="277">
        <f t="shared" si="1"/>
        <v>85</v>
      </c>
      <c r="AC28" s="276">
        <f t="shared" si="7"/>
        <v>0.56666666666666665</v>
      </c>
      <c r="AD28" s="255">
        <f t="shared" si="4"/>
        <v>65.416666666666671</v>
      </c>
      <c r="AJ28"/>
      <c r="AK28"/>
    </row>
    <row r="29" spans="1:49" ht="14.25" customHeight="1" thickBot="1" x14ac:dyDescent="0.25">
      <c r="A29" s="254">
        <v>28</v>
      </c>
      <c r="B29" s="326"/>
      <c r="C29" s="326" t="s">
        <v>600</v>
      </c>
      <c r="D29" s="46">
        <v>13</v>
      </c>
      <c r="E29" s="25">
        <v>5</v>
      </c>
      <c r="F29" s="204">
        <f t="shared" si="2"/>
        <v>18</v>
      </c>
      <c r="G29" s="264">
        <v>10</v>
      </c>
      <c r="H29" s="274">
        <v>28</v>
      </c>
      <c r="I29" s="273">
        <f t="shared" si="5"/>
        <v>51.1</v>
      </c>
      <c r="J29" s="47">
        <v>16</v>
      </c>
      <c r="K29" s="269">
        <f t="shared" si="3"/>
        <v>0.32</v>
      </c>
      <c r="L29" s="247">
        <v>19</v>
      </c>
      <c r="M29" s="247">
        <v>22</v>
      </c>
      <c r="N29" s="247">
        <v>17</v>
      </c>
      <c r="O29" s="247">
        <v>6</v>
      </c>
      <c r="P29" s="247">
        <v>0</v>
      </c>
      <c r="Q29" s="280">
        <f t="shared" si="0"/>
        <v>64</v>
      </c>
      <c r="R29" s="276">
        <f t="shared" si="6"/>
        <v>0.35555555555555557</v>
      </c>
      <c r="S29" s="279">
        <v>8</v>
      </c>
      <c r="T29" s="279">
        <v>5</v>
      </c>
      <c r="U29" s="279">
        <v>11</v>
      </c>
      <c r="V29" s="279">
        <v>1</v>
      </c>
      <c r="W29" s="279">
        <v>3</v>
      </c>
      <c r="X29" s="279">
        <v>5</v>
      </c>
      <c r="Y29" s="279">
        <v>7</v>
      </c>
      <c r="Z29" s="279">
        <v>7</v>
      </c>
      <c r="AA29" s="279">
        <v>9</v>
      </c>
      <c r="AB29" s="277">
        <f t="shared" si="1"/>
        <v>56</v>
      </c>
      <c r="AC29" s="276">
        <f t="shared" si="7"/>
        <v>0.37333333333333335</v>
      </c>
      <c r="AD29" s="255">
        <f t="shared" si="4"/>
        <v>35.111111111111114</v>
      </c>
      <c r="AJ29"/>
      <c r="AK29"/>
    </row>
    <row r="30" spans="1:49" ht="14.25" hidden="1" customHeight="1" x14ac:dyDescent="0.2">
      <c r="A30" s="254"/>
      <c r="B30" s="218" t="s">
        <v>458</v>
      </c>
      <c r="C30" s="96"/>
      <c r="D30" s="46"/>
      <c r="E30" s="25"/>
      <c r="F30" s="309">
        <f>D30+E30</f>
        <v>0</v>
      </c>
      <c r="G30" s="310"/>
      <c r="H30" s="311"/>
      <c r="I30" s="272">
        <f>F30/45*25+G30/20*15+H30/50*60</f>
        <v>0</v>
      </c>
      <c r="J30" s="132"/>
      <c r="K30" s="312">
        <f>J30/50</f>
        <v>0</v>
      </c>
      <c r="L30" s="313"/>
      <c r="M30" s="251"/>
      <c r="N30" s="251"/>
      <c r="O30" s="251"/>
      <c r="P30" s="314"/>
      <c r="Q30" s="315">
        <f>L30+M30+N30+O30+P30</f>
        <v>0</v>
      </c>
      <c r="R30" s="316">
        <f>Q30/180</f>
        <v>0</v>
      </c>
      <c r="S30" s="317"/>
      <c r="T30" s="317"/>
      <c r="U30" s="317"/>
      <c r="V30" s="317"/>
      <c r="W30" s="317"/>
      <c r="X30" s="317"/>
      <c r="Y30" s="317"/>
      <c r="Z30" s="317"/>
      <c r="AA30" s="318"/>
      <c r="AB30" s="319">
        <f>SUM(S30,T30,U30,V30,W30,X30,Y30,Z30,AA30)</f>
        <v>0</v>
      </c>
      <c r="AC30" s="320">
        <f>K30*30 +R30*70</f>
        <v>0</v>
      </c>
      <c r="AD30" s="321">
        <f>K30*30 + R30*35 +AC30*35</f>
        <v>0</v>
      </c>
      <c r="AJ30"/>
      <c r="AK30"/>
    </row>
    <row r="31" spans="1:49" ht="14.25" customHeight="1" x14ac:dyDescent="0.2">
      <c r="O31" s="50"/>
      <c r="AE31" s="173"/>
      <c r="AH31" s="50"/>
      <c r="AK31" s="177"/>
      <c r="AQ31" s="40"/>
      <c r="AR31" s="40"/>
      <c r="AW31" s="219"/>
    </row>
    <row r="32" spans="1:49" ht="14.25" customHeight="1" x14ac:dyDescent="0.2"/>
    <row r="33" spans="52:56" ht="14.25" customHeight="1" x14ac:dyDescent="0.2"/>
    <row r="34" spans="52:56" ht="14.25" customHeight="1" x14ac:dyDescent="0.2">
      <c r="AZ34" s="250"/>
      <c r="BD34" s="112"/>
    </row>
    <row r="35" spans="52:56" ht="14.25" customHeight="1" x14ac:dyDescent="0.2"/>
    <row r="36" spans="52:56" ht="14.25" customHeight="1" x14ac:dyDescent="0.2"/>
    <row r="37" spans="52:56" ht="14.25" customHeight="1" x14ac:dyDescent="0.2"/>
    <row r="38" spans="52:56" ht="14.25" customHeight="1" x14ac:dyDescent="0.2"/>
    <row r="39" spans="52:56" ht="14.25" customHeight="1" x14ac:dyDescent="0.2"/>
    <row r="40" spans="52:56" ht="14.25" customHeight="1" x14ac:dyDescent="0.2"/>
    <row r="41" spans="52:56" ht="14.25" customHeight="1" x14ac:dyDescent="0.2"/>
    <row r="42" spans="52:56" ht="14.25" customHeight="1" x14ac:dyDescent="0.2"/>
    <row r="43" spans="52:56" ht="14.25" customHeight="1" x14ac:dyDescent="0.2"/>
    <row r="44" spans="52:56" ht="14.25" customHeight="1" x14ac:dyDescent="0.2"/>
    <row r="45" spans="52:56" ht="14.25" customHeight="1" x14ac:dyDescent="0.2"/>
    <row r="46" spans="52:56" ht="14.25" customHeight="1" x14ac:dyDescent="0.2"/>
    <row r="47" spans="52:56" ht="14.25" customHeight="1" x14ac:dyDescent="0.2"/>
    <row r="48" spans="52:5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</sheetData>
  <phoneticPr fontId="14" type="noConversion"/>
  <pageMargins left="0.7" right="0.7" top="0.75" bottom="0.75" header="0" footer="0"/>
  <pageSetup orientation="landscape" r:id="rId1"/>
  <ignoredErrors>
    <ignoredError sqref="AC3 AC9:AC10 AC5:AC7 AC12 AC22:AC25 AC15 AC19 AC27:AC29 AB9" calculatedColumn="1"/>
  </ignoredErrors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H989"/>
  <sheetViews>
    <sheetView tabSelected="1" zoomScaleNormal="100" workbookViewId="0">
      <pane xSplit="2" ySplit="1" topLeftCell="C2" activePane="bottomRight" state="frozen"/>
      <selection activeCell="BR46" sqref="BR46"/>
      <selection pane="topRight" activeCell="BR46" sqref="BR46"/>
      <selection pane="bottomLeft" activeCell="BR46" sqref="BR46"/>
      <selection pane="bottomRight" activeCell="C38" sqref="C38"/>
    </sheetView>
  </sheetViews>
  <sheetFormatPr baseColWidth="10" defaultColWidth="14.5" defaultRowHeight="15" customHeight="1" x14ac:dyDescent="0.2"/>
  <cols>
    <col min="1" max="1" width="8.5" bestFit="1" customWidth="1"/>
    <col min="2" max="2" width="16.1640625" customWidth="1"/>
    <col min="3" max="3" width="28.6640625" bestFit="1" customWidth="1"/>
    <col min="4" max="4" width="13.33203125" bestFit="1" customWidth="1"/>
    <col min="5" max="5" width="18.33203125" bestFit="1" customWidth="1"/>
    <col min="6" max="6" width="17.1640625" bestFit="1" customWidth="1"/>
    <col min="7" max="7" width="13.1640625" bestFit="1" customWidth="1"/>
    <col min="8" max="10" width="13.33203125" bestFit="1" customWidth="1"/>
    <col min="11" max="11" width="11.6640625" bestFit="1" customWidth="1"/>
    <col min="12" max="12" width="21.33203125" bestFit="1" customWidth="1"/>
    <col min="13" max="13" width="21" bestFit="1" customWidth="1"/>
    <col min="14" max="14" width="14.1640625" bestFit="1" customWidth="1"/>
    <col min="15" max="15" width="13.5" bestFit="1" customWidth="1"/>
    <col min="16" max="16" width="10.6640625" bestFit="1" customWidth="1"/>
    <col min="17" max="17" width="11" bestFit="1" customWidth="1"/>
    <col min="18" max="18" width="13.1640625" bestFit="1" customWidth="1"/>
    <col min="19" max="19" width="15.1640625" bestFit="1" customWidth="1"/>
    <col min="20" max="21" width="13.6640625" bestFit="1" customWidth="1"/>
    <col min="22" max="22" width="14.1640625" bestFit="1" customWidth="1"/>
    <col min="23" max="23" width="21.33203125" bestFit="1" customWidth="1"/>
    <col min="24" max="24" width="20.6640625" bestFit="1" customWidth="1"/>
    <col min="25" max="25" width="13.83203125" bestFit="1" customWidth="1"/>
    <col min="26" max="27" width="12.6640625" bestFit="1" customWidth="1"/>
    <col min="28" max="28" width="11" bestFit="1" customWidth="1"/>
    <col min="29" max="29" width="17.1640625" bestFit="1" customWidth="1"/>
    <col min="30" max="30" width="13.33203125" bestFit="1" customWidth="1"/>
    <col min="31" max="31" width="12" bestFit="1" customWidth="1"/>
    <col min="32" max="32" width="10.6640625" bestFit="1" customWidth="1"/>
    <col min="33" max="33" width="10.33203125" bestFit="1" customWidth="1"/>
    <col min="34" max="34" width="11.6640625" bestFit="1" customWidth="1"/>
    <col min="35" max="35" width="12.1640625" bestFit="1" customWidth="1"/>
    <col min="36" max="36" width="10.33203125" style="62" bestFit="1" customWidth="1"/>
    <col min="37" max="37" width="9.5" style="62" bestFit="1" customWidth="1"/>
    <col min="38" max="38" width="10.5" bestFit="1" customWidth="1"/>
    <col min="39" max="39" width="11.6640625" bestFit="1" customWidth="1"/>
    <col min="40" max="40" width="14.1640625" bestFit="1" customWidth="1"/>
    <col min="41" max="41" width="11.6640625" bestFit="1" customWidth="1"/>
    <col min="42" max="42" width="16.33203125" bestFit="1" customWidth="1"/>
    <col min="43" max="43" width="17.1640625" bestFit="1" customWidth="1"/>
    <col min="44" max="44" width="14.83203125" bestFit="1" customWidth="1"/>
    <col min="45" max="45" width="11.6640625" bestFit="1" customWidth="1"/>
    <col min="46" max="46" width="10.6640625" customWidth="1"/>
    <col min="47" max="47" width="11.83203125" customWidth="1"/>
    <col min="48" max="48" width="14.5" customWidth="1"/>
    <col min="49" max="49" width="11.83203125" customWidth="1"/>
    <col min="50" max="50" width="10.6640625" customWidth="1"/>
    <col min="51" max="51" width="15" customWidth="1"/>
    <col min="52" max="52" width="10.6640625" customWidth="1"/>
    <col min="54" max="54" width="35" bestFit="1" customWidth="1"/>
    <col min="55" max="55" width="24.5" bestFit="1" customWidth="1"/>
    <col min="56" max="56" width="20.5" bestFit="1" customWidth="1"/>
    <col min="57" max="57" width="18" bestFit="1" customWidth="1"/>
    <col min="58" max="58" width="14.33203125" bestFit="1" customWidth="1"/>
    <col min="59" max="59" width="14.5" customWidth="1"/>
    <col min="60" max="60" width="17.6640625" bestFit="1" customWidth="1"/>
    <col min="61" max="61" width="23.33203125" bestFit="1" customWidth="1"/>
    <col min="62" max="62" width="20.33203125" bestFit="1" customWidth="1"/>
    <col min="63" max="63" width="20" bestFit="1" customWidth="1"/>
    <col min="64" max="64" width="21.5" bestFit="1" customWidth="1"/>
    <col min="65" max="65" width="25.33203125" bestFit="1" customWidth="1"/>
    <col min="66" max="66" width="26.83203125" bestFit="1" customWidth="1"/>
    <col min="67" max="67" width="19.1640625" customWidth="1"/>
    <col min="68" max="69" width="18.5" bestFit="1" customWidth="1"/>
    <col min="71" max="71" width="17.6640625" customWidth="1"/>
    <col min="72" max="72" width="15.6640625" customWidth="1"/>
    <col min="74" max="74" width="15.1640625" customWidth="1"/>
  </cols>
  <sheetData>
    <row r="1" spans="1:37" ht="45" customHeight="1" thickBot="1" x14ac:dyDescent="0.25">
      <c r="A1" s="256" t="s">
        <v>3</v>
      </c>
      <c r="B1" s="41" t="s">
        <v>4</v>
      </c>
      <c r="C1" s="322" t="s">
        <v>5</v>
      </c>
      <c r="D1" s="235" t="s">
        <v>652</v>
      </c>
      <c r="E1" s="245" t="s">
        <v>651</v>
      </c>
      <c r="F1" s="245" t="s">
        <v>650</v>
      </c>
      <c r="G1" s="245" t="s">
        <v>649</v>
      </c>
      <c r="H1" s="164" t="s">
        <v>648</v>
      </c>
      <c r="I1" s="39" t="s">
        <v>647</v>
      </c>
      <c r="J1" s="38" t="s">
        <v>646</v>
      </c>
      <c r="K1" s="69" t="s">
        <v>645</v>
      </c>
      <c r="L1" s="69" t="s">
        <v>551</v>
      </c>
      <c r="M1" s="69" t="s">
        <v>552</v>
      </c>
      <c r="N1" s="69" t="s">
        <v>632</v>
      </c>
      <c r="O1" s="69" t="s">
        <v>555</v>
      </c>
      <c r="P1" s="69" t="s">
        <v>553</v>
      </c>
      <c r="Q1" s="69" t="s">
        <v>633</v>
      </c>
      <c r="R1" s="69" t="s">
        <v>634</v>
      </c>
      <c r="S1" s="69" t="s">
        <v>635</v>
      </c>
      <c r="T1" s="69" t="s">
        <v>636</v>
      </c>
      <c r="U1" s="69" t="s">
        <v>554</v>
      </c>
      <c r="V1" s="69" t="s">
        <v>637</v>
      </c>
      <c r="W1" s="69" t="s">
        <v>638</v>
      </c>
      <c r="X1" s="69" t="s">
        <v>639</v>
      </c>
      <c r="Y1" s="69" t="s">
        <v>640</v>
      </c>
      <c r="Z1" s="69" t="s">
        <v>641</v>
      </c>
      <c r="AA1" s="69" t="s">
        <v>642</v>
      </c>
      <c r="AB1" s="69" t="s">
        <v>643</v>
      </c>
      <c r="AC1" s="69" t="s">
        <v>644</v>
      </c>
      <c r="AD1" s="73" t="s">
        <v>653</v>
      </c>
      <c r="AJ1"/>
      <c r="AK1"/>
    </row>
    <row r="2" spans="1:37" ht="14.25" customHeight="1" thickBot="1" x14ac:dyDescent="0.25">
      <c r="A2" s="257">
        <v>1</v>
      </c>
      <c r="B2" s="323" t="s">
        <v>601</v>
      </c>
      <c r="C2" s="324"/>
      <c r="D2" s="25">
        <v>18</v>
      </c>
      <c r="E2" s="25">
        <v>16</v>
      </c>
      <c r="F2" s="204">
        <f>D2+E2</f>
        <v>34</v>
      </c>
      <c r="G2" s="264">
        <v>20</v>
      </c>
      <c r="H2" s="52">
        <v>33</v>
      </c>
      <c r="I2" s="263">
        <f t="shared" ref="I2:I32" si="0">F2/45*25+G2/20*15+H2/50*60</f>
        <v>73.48888888888888</v>
      </c>
      <c r="J2" s="46">
        <v>44</v>
      </c>
      <c r="K2" s="174">
        <f t="shared" ref="K2:K23" si="1">J2/50</f>
        <v>0.88</v>
      </c>
      <c r="L2" s="246">
        <v>18</v>
      </c>
      <c r="M2" s="247">
        <v>30</v>
      </c>
      <c r="N2" s="247">
        <v>43</v>
      </c>
      <c r="O2" s="247">
        <v>26</v>
      </c>
      <c r="P2" s="247">
        <v>10</v>
      </c>
      <c r="Q2" s="247">
        <f t="shared" ref="Q2:Q32" si="2">SUM(L2,M2,N2,O2,P2)</f>
        <v>127</v>
      </c>
      <c r="R2" s="283">
        <f t="shared" ref="R2:R32" si="3">Q2/180</f>
        <v>0.7055555555555556</v>
      </c>
      <c r="S2" s="247">
        <v>11</v>
      </c>
      <c r="T2" s="247">
        <v>8</v>
      </c>
      <c r="U2" s="247">
        <v>23</v>
      </c>
      <c r="V2" s="247">
        <v>9</v>
      </c>
      <c r="W2" s="247">
        <v>6</v>
      </c>
      <c r="X2" s="247">
        <v>8</v>
      </c>
      <c r="Y2" s="247">
        <v>13</v>
      </c>
      <c r="Z2" s="247">
        <v>14</v>
      </c>
      <c r="AA2" s="247">
        <v>13</v>
      </c>
      <c r="AB2" s="247">
        <f>SUM(tblGrade12B[[#This Row],[MULTIPLE CHOICE  (15)]:[SCENARIO 2  (20)]])</f>
        <v>105</v>
      </c>
      <c r="AC2" s="283">
        <f t="shared" ref="AC2:AC32" si="4">AB2/150</f>
        <v>0.7</v>
      </c>
      <c r="AD2" s="260">
        <f t="shared" ref="AD2:AD32" si="5">K2*30 + R2*35 +AC2*35</f>
        <v>75.594444444444449</v>
      </c>
      <c r="AJ2"/>
      <c r="AK2"/>
    </row>
    <row r="3" spans="1:37" ht="16" hidden="1" customHeight="1" thickBot="1" x14ac:dyDescent="0.25">
      <c r="A3" s="258">
        <v>2</v>
      </c>
      <c r="B3" s="323" t="s">
        <v>602</v>
      </c>
      <c r="C3" s="324"/>
      <c r="D3" s="25"/>
      <c r="E3" s="25"/>
      <c r="F3" s="204">
        <f>D3+E3</f>
        <v>0</v>
      </c>
      <c r="G3" s="264"/>
      <c r="H3" s="52"/>
      <c r="I3" s="263">
        <f t="shared" si="0"/>
        <v>0</v>
      </c>
      <c r="J3" s="46"/>
      <c r="K3" s="174">
        <f t="shared" si="1"/>
        <v>0</v>
      </c>
      <c r="L3" s="248"/>
      <c r="M3" s="248"/>
      <c r="N3" s="248"/>
      <c r="O3" s="248"/>
      <c r="P3" s="248"/>
      <c r="Q3" s="247">
        <f t="shared" si="2"/>
        <v>0</v>
      </c>
      <c r="R3" s="283">
        <f t="shared" si="3"/>
        <v>0</v>
      </c>
      <c r="S3" s="247"/>
      <c r="T3" s="247"/>
      <c r="U3" s="247"/>
      <c r="V3" s="247"/>
      <c r="W3" s="247"/>
      <c r="X3" s="247"/>
      <c r="Y3" s="247"/>
      <c r="Z3" s="247"/>
      <c r="AA3" s="247"/>
      <c r="AB3" s="247">
        <f>SUM(tblGrade12B[[#This Row],[MULTIPLE CHOICE  (15)]:[SCENARIO 2  (20)]])</f>
        <v>0</v>
      </c>
      <c r="AC3" s="283">
        <f t="shared" si="4"/>
        <v>0</v>
      </c>
      <c r="AD3" s="260">
        <f t="shared" si="5"/>
        <v>0</v>
      </c>
      <c r="AJ3"/>
      <c r="AK3"/>
    </row>
    <row r="4" spans="1:37" ht="16" hidden="1" customHeight="1" thickBot="1" x14ac:dyDescent="0.25">
      <c r="A4" s="258">
        <v>3</v>
      </c>
      <c r="B4" s="323" t="s">
        <v>603</v>
      </c>
      <c r="C4" s="324"/>
      <c r="D4" s="25"/>
      <c r="E4" s="25"/>
      <c r="F4" s="204">
        <f>D4+E4</f>
        <v>0</v>
      </c>
      <c r="G4" s="264"/>
      <c r="H4" s="52"/>
      <c r="I4" s="263">
        <f t="shared" si="0"/>
        <v>0</v>
      </c>
      <c r="J4" s="46"/>
      <c r="K4" s="174">
        <f t="shared" si="1"/>
        <v>0</v>
      </c>
      <c r="L4" s="248"/>
      <c r="M4" s="248"/>
      <c r="N4" s="248"/>
      <c r="O4" s="248"/>
      <c r="P4" s="248"/>
      <c r="Q4" s="247">
        <f t="shared" si="2"/>
        <v>0</v>
      </c>
      <c r="R4" s="283">
        <f t="shared" si="3"/>
        <v>0</v>
      </c>
      <c r="S4" s="247"/>
      <c r="T4" s="247"/>
      <c r="U4" s="247"/>
      <c r="V4" s="247"/>
      <c r="W4" s="247"/>
      <c r="X4" s="247"/>
      <c r="Y4" s="247"/>
      <c r="Z4" s="247"/>
      <c r="AA4" s="247"/>
      <c r="AB4" s="247">
        <f>SUM(tblGrade12B[[#This Row],[MULTIPLE CHOICE  (15)]:[SCENARIO 2  (20)]])</f>
        <v>0</v>
      </c>
      <c r="AC4" s="283">
        <f t="shared" si="4"/>
        <v>0</v>
      </c>
      <c r="AD4" s="260">
        <f t="shared" si="5"/>
        <v>0</v>
      </c>
      <c r="AJ4"/>
      <c r="AK4"/>
    </row>
    <row r="5" spans="1:37" ht="14.25" customHeight="1" thickBot="1" x14ac:dyDescent="0.25">
      <c r="A5" s="258">
        <v>4</v>
      </c>
      <c r="B5" s="323" t="s">
        <v>604</v>
      </c>
      <c r="C5" s="324"/>
      <c r="D5" s="25">
        <v>13</v>
      </c>
      <c r="E5" s="25">
        <v>2</v>
      </c>
      <c r="F5" s="204">
        <f>D5+E5</f>
        <v>15</v>
      </c>
      <c r="G5" s="264">
        <v>20</v>
      </c>
      <c r="H5" s="52">
        <v>32</v>
      </c>
      <c r="I5" s="263">
        <f t="shared" si="0"/>
        <v>61.733333333333334</v>
      </c>
      <c r="J5" s="46">
        <v>23</v>
      </c>
      <c r="K5" s="174">
        <f t="shared" si="1"/>
        <v>0.46</v>
      </c>
      <c r="L5" s="248">
        <v>17</v>
      </c>
      <c r="M5" s="248">
        <v>34</v>
      </c>
      <c r="N5" s="248">
        <v>19</v>
      </c>
      <c r="O5" s="248">
        <v>13</v>
      </c>
      <c r="P5" s="248">
        <v>13</v>
      </c>
      <c r="Q5" s="247">
        <f t="shared" si="2"/>
        <v>96</v>
      </c>
      <c r="R5" s="283">
        <f t="shared" si="3"/>
        <v>0.53333333333333333</v>
      </c>
      <c r="S5" s="247">
        <v>11</v>
      </c>
      <c r="T5" s="247">
        <v>5</v>
      </c>
      <c r="U5" s="247">
        <v>21</v>
      </c>
      <c r="V5" s="247">
        <v>3</v>
      </c>
      <c r="W5" s="247">
        <v>4</v>
      </c>
      <c r="X5" s="247">
        <v>3</v>
      </c>
      <c r="Y5" s="247">
        <v>9</v>
      </c>
      <c r="Z5" s="247">
        <v>9</v>
      </c>
      <c r="AA5" s="247">
        <v>12</v>
      </c>
      <c r="AB5" s="247">
        <f>SUM(tblGrade12B[[#This Row],[MULTIPLE CHOICE  (15)]:[SCENARIO 2  (20)]])</f>
        <v>77</v>
      </c>
      <c r="AC5" s="283">
        <f t="shared" si="4"/>
        <v>0.51333333333333331</v>
      </c>
      <c r="AD5" s="260">
        <f t="shared" si="5"/>
        <v>50.433333333333337</v>
      </c>
      <c r="AJ5"/>
      <c r="AK5"/>
    </row>
    <row r="6" spans="1:37" ht="14.25" customHeight="1" thickBot="1" x14ac:dyDescent="0.25">
      <c r="A6" s="258">
        <v>5</v>
      </c>
      <c r="B6" s="323" t="s">
        <v>605</v>
      </c>
      <c r="C6" s="324"/>
      <c r="D6" s="237"/>
      <c r="E6" s="237"/>
      <c r="F6" s="267"/>
      <c r="G6" s="265"/>
      <c r="H6" s="52">
        <v>18</v>
      </c>
      <c r="I6" s="263">
        <f t="shared" si="0"/>
        <v>21.599999999999998</v>
      </c>
      <c r="J6" s="70">
        <v>21</v>
      </c>
      <c r="K6" s="261">
        <f t="shared" si="1"/>
        <v>0.42</v>
      </c>
      <c r="L6" s="248">
        <v>11</v>
      </c>
      <c r="M6" s="248">
        <v>18</v>
      </c>
      <c r="N6" s="248">
        <v>16</v>
      </c>
      <c r="O6" s="248">
        <v>1</v>
      </c>
      <c r="P6" s="248">
        <v>3</v>
      </c>
      <c r="Q6" s="247">
        <f t="shared" si="2"/>
        <v>49</v>
      </c>
      <c r="R6" s="283">
        <f t="shared" si="3"/>
        <v>0.2722222222222222</v>
      </c>
      <c r="S6" s="247">
        <v>10</v>
      </c>
      <c r="T6" s="247">
        <v>6</v>
      </c>
      <c r="U6" s="247">
        <v>14</v>
      </c>
      <c r="V6" s="247">
        <v>3</v>
      </c>
      <c r="W6" s="247">
        <v>8</v>
      </c>
      <c r="X6" s="247">
        <v>6</v>
      </c>
      <c r="Y6" s="247">
        <v>4</v>
      </c>
      <c r="Z6" s="247">
        <v>14</v>
      </c>
      <c r="AA6" s="247">
        <v>7</v>
      </c>
      <c r="AB6" s="247">
        <v>75</v>
      </c>
      <c r="AC6" s="283">
        <f t="shared" si="4"/>
        <v>0.5</v>
      </c>
      <c r="AD6" s="260">
        <f t="shared" si="5"/>
        <v>39.62777777777778</v>
      </c>
      <c r="AJ6"/>
      <c r="AK6"/>
    </row>
    <row r="7" spans="1:37" ht="14.25" customHeight="1" thickBot="1" x14ac:dyDescent="0.25">
      <c r="A7" s="258">
        <v>6</v>
      </c>
      <c r="B7" s="323" t="s">
        <v>606</v>
      </c>
      <c r="C7" s="324"/>
      <c r="D7" s="25">
        <v>12</v>
      </c>
      <c r="E7" s="25">
        <v>3</v>
      </c>
      <c r="F7" s="204">
        <f t="shared" ref="F7:F32" si="6">D7+E7</f>
        <v>15</v>
      </c>
      <c r="G7" s="264">
        <v>20</v>
      </c>
      <c r="H7" s="52">
        <v>39</v>
      </c>
      <c r="I7" s="263">
        <f t="shared" si="0"/>
        <v>70.13333333333334</v>
      </c>
      <c r="J7" s="46">
        <v>43</v>
      </c>
      <c r="K7" s="174">
        <f t="shared" si="1"/>
        <v>0.86</v>
      </c>
      <c r="L7" s="248">
        <v>19</v>
      </c>
      <c r="M7" s="248">
        <v>42</v>
      </c>
      <c r="N7" s="248">
        <v>34</v>
      </c>
      <c r="O7" s="248">
        <v>25</v>
      </c>
      <c r="P7" s="248">
        <v>18</v>
      </c>
      <c r="Q7" s="247">
        <f t="shared" si="2"/>
        <v>138</v>
      </c>
      <c r="R7" s="283">
        <f t="shared" si="3"/>
        <v>0.76666666666666672</v>
      </c>
      <c r="S7" s="247">
        <v>10</v>
      </c>
      <c r="T7" s="247">
        <v>5</v>
      </c>
      <c r="U7" s="247">
        <v>14</v>
      </c>
      <c r="V7" s="247">
        <v>5</v>
      </c>
      <c r="W7" s="247">
        <v>7</v>
      </c>
      <c r="X7" s="247">
        <v>4</v>
      </c>
      <c r="Y7" s="247">
        <v>7</v>
      </c>
      <c r="Z7" s="247">
        <v>14</v>
      </c>
      <c r="AA7" s="247">
        <v>8</v>
      </c>
      <c r="AB7" s="247">
        <f>SUM(tblGrade12B[[#This Row],[MULTIPLE CHOICE  (15)]:[SCENARIO 2  (20)]])</f>
        <v>74</v>
      </c>
      <c r="AC7" s="283">
        <f t="shared" si="4"/>
        <v>0.49333333333333335</v>
      </c>
      <c r="AD7" s="260">
        <f t="shared" si="5"/>
        <v>69.900000000000006</v>
      </c>
      <c r="AJ7"/>
      <c r="AK7"/>
    </row>
    <row r="8" spans="1:37" ht="14.25" customHeight="1" thickBot="1" x14ac:dyDescent="0.25">
      <c r="A8" s="258">
        <v>7</v>
      </c>
      <c r="B8" s="323" t="s">
        <v>607</v>
      </c>
      <c r="C8" s="324"/>
      <c r="D8" s="25">
        <v>14</v>
      </c>
      <c r="E8" s="25">
        <v>4</v>
      </c>
      <c r="F8" s="204">
        <f t="shared" si="6"/>
        <v>18</v>
      </c>
      <c r="G8" s="264">
        <v>20</v>
      </c>
      <c r="H8" s="52">
        <v>27</v>
      </c>
      <c r="I8" s="263">
        <f t="shared" si="0"/>
        <v>57.400000000000006</v>
      </c>
      <c r="J8" s="46">
        <v>19</v>
      </c>
      <c r="K8" s="174">
        <f t="shared" si="1"/>
        <v>0.38</v>
      </c>
      <c r="L8" s="248">
        <v>17</v>
      </c>
      <c r="M8" s="248">
        <v>38</v>
      </c>
      <c r="N8" s="248">
        <v>25</v>
      </c>
      <c r="O8" s="248">
        <v>20</v>
      </c>
      <c r="P8" s="248">
        <v>1</v>
      </c>
      <c r="Q8" s="247">
        <f t="shared" si="2"/>
        <v>101</v>
      </c>
      <c r="R8" s="283">
        <f t="shared" si="3"/>
        <v>0.56111111111111112</v>
      </c>
      <c r="S8" s="247">
        <v>10</v>
      </c>
      <c r="T8" s="247">
        <v>6</v>
      </c>
      <c r="U8" s="247">
        <v>16</v>
      </c>
      <c r="V8" s="247">
        <v>7</v>
      </c>
      <c r="W8" s="247">
        <v>7</v>
      </c>
      <c r="X8" s="247">
        <v>6</v>
      </c>
      <c r="Y8" s="247">
        <v>5</v>
      </c>
      <c r="Z8" s="247">
        <v>18</v>
      </c>
      <c r="AA8" s="247">
        <v>14</v>
      </c>
      <c r="AB8" s="247">
        <f>SUM(tblGrade12B[[#This Row],[MULTIPLE CHOICE  (15)]:[SCENARIO 2  (20)]])</f>
        <v>89</v>
      </c>
      <c r="AC8" s="283">
        <f t="shared" si="4"/>
        <v>0.59333333333333338</v>
      </c>
      <c r="AD8" s="260">
        <f t="shared" si="5"/>
        <v>51.805555555555557</v>
      </c>
      <c r="AJ8"/>
      <c r="AK8"/>
    </row>
    <row r="9" spans="1:37" ht="16" hidden="1" customHeight="1" thickBot="1" x14ac:dyDescent="0.25">
      <c r="A9" s="258">
        <v>8</v>
      </c>
      <c r="B9" s="323" t="s">
        <v>608</v>
      </c>
      <c r="C9" s="324"/>
      <c r="D9" s="25"/>
      <c r="E9" s="25"/>
      <c r="F9" s="204">
        <f t="shared" si="6"/>
        <v>0</v>
      </c>
      <c r="G9" s="264"/>
      <c r="H9" s="52"/>
      <c r="I9" s="263">
        <f t="shared" si="0"/>
        <v>0</v>
      </c>
      <c r="J9" s="46"/>
      <c r="K9" s="174">
        <f t="shared" si="1"/>
        <v>0</v>
      </c>
      <c r="L9" s="248"/>
      <c r="M9" s="248"/>
      <c r="N9" s="248"/>
      <c r="O9" s="248"/>
      <c r="P9" s="248"/>
      <c r="Q9" s="247">
        <f t="shared" si="2"/>
        <v>0</v>
      </c>
      <c r="R9" s="283">
        <f t="shared" si="3"/>
        <v>0</v>
      </c>
      <c r="S9" s="247"/>
      <c r="T9" s="247"/>
      <c r="U9" s="247"/>
      <c r="V9" s="247"/>
      <c r="W9" s="247"/>
      <c r="X9" s="247"/>
      <c r="Y9" s="247"/>
      <c r="Z9" s="247"/>
      <c r="AA9" s="247"/>
      <c r="AB9" s="247">
        <f>SUM(tblGrade12B[[#This Row],[MULTIPLE CHOICE  (15)]:[SCENARIO 2  (20)]])</f>
        <v>0</v>
      </c>
      <c r="AC9" s="283">
        <f t="shared" si="4"/>
        <v>0</v>
      </c>
      <c r="AD9" s="260">
        <f t="shared" si="5"/>
        <v>0</v>
      </c>
      <c r="AJ9"/>
      <c r="AK9"/>
    </row>
    <row r="10" spans="1:37" ht="14.25" customHeight="1" thickBot="1" x14ac:dyDescent="0.25">
      <c r="A10" s="258">
        <v>9</v>
      </c>
      <c r="B10" s="323" t="s">
        <v>609</v>
      </c>
      <c r="C10" s="324"/>
      <c r="D10" s="25">
        <v>19</v>
      </c>
      <c r="E10" s="25">
        <v>14</v>
      </c>
      <c r="F10" s="204">
        <f t="shared" si="6"/>
        <v>33</v>
      </c>
      <c r="G10" s="264">
        <v>18</v>
      </c>
      <c r="H10" s="52">
        <v>47</v>
      </c>
      <c r="I10" s="263">
        <f t="shared" si="0"/>
        <v>88.233333333333334</v>
      </c>
      <c r="J10" s="46">
        <v>44</v>
      </c>
      <c r="K10" s="174">
        <f t="shared" si="1"/>
        <v>0.88</v>
      </c>
      <c r="L10" s="248">
        <v>18</v>
      </c>
      <c r="M10" s="248">
        <v>43</v>
      </c>
      <c r="N10" s="248">
        <v>42</v>
      </c>
      <c r="O10" s="248">
        <v>19</v>
      </c>
      <c r="P10" s="248">
        <v>9</v>
      </c>
      <c r="Q10" s="247">
        <f t="shared" si="2"/>
        <v>131</v>
      </c>
      <c r="R10" s="283">
        <f t="shared" si="3"/>
        <v>0.72777777777777775</v>
      </c>
      <c r="S10" s="247">
        <v>9</v>
      </c>
      <c r="T10" s="247">
        <v>9</v>
      </c>
      <c r="U10" s="247">
        <v>22</v>
      </c>
      <c r="V10" s="247">
        <v>7</v>
      </c>
      <c r="W10" s="247">
        <v>9</v>
      </c>
      <c r="X10" s="247">
        <v>6</v>
      </c>
      <c r="Y10" s="247">
        <v>12</v>
      </c>
      <c r="Z10" s="247">
        <v>17</v>
      </c>
      <c r="AA10" s="247">
        <v>10</v>
      </c>
      <c r="AB10" s="247">
        <f>SUM(tblGrade12B[[#This Row],[MULTIPLE CHOICE  (15)]:[SCENARIO 2  (20)]])</f>
        <v>101</v>
      </c>
      <c r="AC10" s="283">
        <f t="shared" si="4"/>
        <v>0.67333333333333334</v>
      </c>
      <c r="AD10" s="260">
        <f t="shared" si="5"/>
        <v>75.438888888888883</v>
      </c>
      <c r="AJ10"/>
      <c r="AK10"/>
    </row>
    <row r="11" spans="1:37" ht="14.25" customHeight="1" thickBot="1" x14ac:dyDescent="0.25">
      <c r="A11" s="258">
        <v>10</v>
      </c>
      <c r="B11" s="323" t="s">
        <v>610</v>
      </c>
      <c r="C11" s="324"/>
      <c r="D11" s="25">
        <v>21</v>
      </c>
      <c r="E11" s="25">
        <v>18</v>
      </c>
      <c r="F11" s="204">
        <f t="shared" si="6"/>
        <v>39</v>
      </c>
      <c r="G11" s="264">
        <v>20</v>
      </c>
      <c r="H11" s="52">
        <v>46</v>
      </c>
      <c r="I11" s="263">
        <f t="shared" si="0"/>
        <v>91.866666666666674</v>
      </c>
      <c r="J11" s="46">
        <v>30</v>
      </c>
      <c r="K11" s="174">
        <f t="shared" si="1"/>
        <v>0.6</v>
      </c>
      <c r="L11" s="248">
        <v>14</v>
      </c>
      <c r="M11" s="248">
        <v>35</v>
      </c>
      <c r="N11" s="248">
        <v>42</v>
      </c>
      <c r="O11" s="248">
        <v>22</v>
      </c>
      <c r="P11" s="248">
        <v>12</v>
      </c>
      <c r="Q11" s="247">
        <f t="shared" si="2"/>
        <v>125</v>
      </c>
      <c r="R11" s="283">
        <f t="shared" si="3"/>
        <v>0.69444444444444442</v>
      </c>
      <c r="S11" s="247">
        <v>11</v>
      </c>
      <c r="T11" s="247">
        <v>6</v>
      </c>
      <c r="U11" s="247">
        <v>19</v>
      </c>
      <c r="V11" s="247">
        <v>10</v>
      </c>
      <c r="W11" s="247">
        <v>6</v>
      </c>
      <c r="X11" s="247">
        <v>7</v>
      </c>
      <c r="Y11" s="247">
        <v>11</v>
      </c>
      <c r="Z11" s="247">
        <v>22</v>
      </c>
      <c r="AA11" s="247">
        <v>16</v>
      </c>
      <c r="AB11" s="247">
        <f>SUM(tblGrade12B[[#This Row],[MULTIPLE CHOICE  (15)]:[SCENARIO 2  (20)]])</f>
        <v>108</v>
      </c>
      <c r="AC11" s="283">
        <f t="shared" si="4"/>
        <v>0.72</v>
      </c>
      <c r="AD11" s="260">
        <f t="shared" si="5"/>
        <v>67.50555555555556</v>
      </c>
      <c r="AJ11"/>
      <c r="AK11"/>
    </row>
    <row r="12" spans="1:37" ht="14.25" customHeight="1" thickBot="1" x14ac:dyDescent="0.25">
      <c r="A12" s="258">
        <v>11</v>
      </c>
      <c r="B12" s="323" t="s">
        <v>611</v>
      </c>
      <c r="C12" s="324"/>
      <c r="D12" s="25">
        <v>18</v>
      </c>
      <c r="E12" s="25">
        <v>10</v>
      </c>
      <c r="F12" s="204">
        <f t="shared" si="6"/>
        <v>28</v>
      </c>
      <c r="G12" s="264">
        <v>18</v>
      </c>
      <c r="H12" s="52">
        <v>36</v>
      </c>
      <c r="I12" s="263">
        <f t="shared" si="0"/>
        <v>72.25555555555556</v>
      </c>
      <c r="J12" s="46">
        <v>43</v>
      </c>
      <c r="K12" s="174">
        <f t="shared" si="1"/>
        <v>0.86</v>
      </c>
      <c r="L12" s="248">
        <v>19</v>
      </c>
      <c r="M12" s="248">
        <v>21</v>
      </c>
      <c r="N12" s="248">
        <v>38</v>
      </c>
      <c r="O12" s="248">
        <v>19</v>
      </c>
      <c r="P12" s="248">
        <v>17</v>
      </c>
      <c r="Q12" s="247">
        <f t="shared" si="2"/>
        <v>114</v>
      </c>
      <c r="R12" s="283">
        <f t="shared" si="3"/>
        <v>0.6333333333333333</v>
      </c>
      <c r="S12" s="247">
        <v>10</v>
      </c>
      <c r="T12" s="247">
        <v>7</v>
      </c>
      <c r="U12" s="247">
        <v>23</v>
      </c>
      <c r="V12" s="247">
        <v>10</v>
      </c>
      <c r="W12" s="247">
        <v>9</v>
      </c>
      <c r="X12" s="247">
        <v>6</v>
      </c>
      <c r="Y12" s="247">
        <v>12</v>
      </c>
      <c r="Z12" s="247">
        <v>17</v>
      </c>
      <c r="AA12" s="247">
        <v>15</v>
      </c>
      <c r="AB12" s="247">
        <f>SUM(tblGrade12B[[#This Row],[MULTIPLE CHOICE  (15)]:[SCENARIO 2  (20)]])</f>
        <v>109</v>
      </c>
      <c r="AC12" s="283">
        <f t="shared" si="4"/>
        <v>0.72666666666666668</v>
      </c>
      <c r="AD12" s="260">
        <f t="shared" si="5"/>
        <v>73.400000000000006</v>
      </c>
      <c r="AJ12"/>
      <c r="AK12"/>
    </row>
    <row r="13" spans="1:37" ht="16" hidden="1" customHeight="1" thickBot="1" x14ac:dyDescent="0.25">
      <c r="A13" s="258">
        <v>12</v>
      </c>
      <c r="B13" s="323" t="s">
        <v>612</v>
      </c>
      <c r="C13" s="324"/>
      <c r="D13" s="25"/>
      <c r="E13" s="25"/>
      <c r="F13" s="204">
        <f t="shared" si="6"/>
        <v>0</v>
      </c>
      <c r="G13" s="264"/>
      <c r="H13" s="52"/>
      <c r="I13" s="263">
        <f t="shared" si="0"/>
        <v>0</v>
      </c>
      <c r="J13" s="46"/>
      <c r="K13" s="174">
        <f t="shared" si="1"/>
        <v>0</v>
      </c>
      <c r="L13" s="248"/>
      <c r="M13" s="248"/>
      <c r="N13" s="248"/>
      <c r="O13" s="248"/>
      <c r="P13" s="248"/>
      <c r="Q13" s="247">
        <f t="shared" si="2"/>
        <v>0</v>
      </c>
      <c r="R13" s="283">
        <f t="shared" si="3"/>
        <v>0</v>
      </c>
      <c r="S13" s="247"/>
      <c r="T13" s="247"/>
      <c r="U13" s="247"/>
      <c r="V13" s="247"/>
      <c r="W13" s="247"/>
      <c r="X13" s="247"/>
      <c r="Y13" s="247"/>
      <c r="Z13" s="247"/>
      <c r="AA13" s="247"/>
      <c r="AB13" s="247">
        <f>SUM(tblGrade12B[[#This Row],[MULTIPLE CHOICE  (15)]:[SCENARIO 2  (20)]])</f>
        <v>0</v>
      </c>
      <c r="AC13" s="283">
        <f t="shared" si="4"/>
        <v>0</v>
      </c>
      <c r="AD13" s="260">
        <f t="shared" si="5"/>
        <v>0</v>
      </c>
      <c r="AJ13"/>
      <c r="AK13"/>
    </row>
    <row r="14" spans="1:37" ht="14.25" customHeight="1" thickBot="1" x14ac:dyDescent="0.25">
      <c r="A14" s="258">
        <v>13</v>
      </c>
      <c r="B14" s="323" t="s">
        <v>613</v>
      </c>
      <c r="C14" s="324"/>
      <c r="D14" s="25">
        <v>13</v>
      </c>
      <c r="E14" s="25">
        <v>4</v>
      </c>
      <c r="F14" s="204">
        <f t="shared" si="6"/>
        <v>17</v>
      </c>
      <c r="G14" s="264">
        <v>11</v>
      </c>
      <c r="H14" s="52">
        <v>36</v>
      </c>
      <c r="I14" s="263">
        <f t="shared" si="0"/>
        <v>60.894444444444439</v>
      </c>
      <c r="J14" s="46">
        <v>15</v>
      </c>
      <c r="K14" s="174">
        <f t="shared" si="1"/>
        <v>0.3</v>
      </c>
      <c r="L14" s="248">
        <v>16</v>
      </c>
      <c r="M14" s="248">
        <v>16</v>
      </c>
      <c r="N14" s="248">
        <v>17</v>
      </c>
      <c r="O14" s="248">
        <v>3</v>
      </c>
      <c r="P14" s="248">
        <v>0</v>
      </c>
      <c r="Q14" s="247">
        <f t="shared" si="2"/>
        <v>52</v>
      </c>
      <c r="R14" s="283">
        <f t="shared" si="3"/>
        <v>0.28888888888888886</v>
      </c>
      <c r="S14" s="247">
        <v>9</v>
      </c>
      <c r="T14" s="247">
        <v>6</v>
      </c>
      <c r="U14" s="247">
        <v>18</v>
      </c>
      <c r="V14" s="247">
        <v>4</v>
      </c>
      <c r="W14" s="247">
        <v>8</v>
      </c>
      <c r="X14" s="247">
        <v>4</v>
      </c>
      <c r="Y14" s="247">
        <v>4</v>
      </c>
      <c r="Z14" s="247">
        <v>15</v>
      </c>
      <c r="AA14" s="247">
        <v>13</v>
      </c>
      <c r="AB14" s="247">
        <f>SUM(tblGrade12B[[#This Row],[MULTIPLE CHOICE  (15)]:[SCENARIO 2  (20)]])</f>
        <v>81</v>
      </c>
      <c r="AC14" s="283">
        <f t="shared" si="4"/>
        <v>0.54</v>
      </c>
      <c r="AD14" s="260">
        <f t="shared" si="5"/>
        <v>38.011111111111113</v>
      </c>
      <c r="AJ14"/>
      <c r="AK14"/>
    </row>
    <row r="15" spans="1:37" ht="14.25" customHeight="1" thickBot="1" x14ac:dyDescent="0.25">
      <c r="A15" s="258">
        <v>14</v>
      </c>
      <c r="B15" s="323" t="s">
        <v>614</v>
      </c>
      <c r="C15" s="324"/>
      <c r="D15" s="25">
        <v>18</v>
      </c>
      <c r="E15" s="25">
        <v>8</v>
      </c>
      <c r="F15" s="204">
        <f t="shared" si="6"/>
        <v>26</v>
      </c>
      <c r="G15" s="264">
        <v>17</v>
      </c>
      <c r="H15" s="52">
        <v>27</v>
      </c>
      <c r="I15" s="263">
        <f t="shared" si="0"/>
        <v>59.594444444444449</v>
      </c>
      <c r="J15" s="46">
        <v>23</v>
      </c>
      <c r="K15" s="174">
        <f t="shared" si="1"/>
        <v>0.46</v>
      </c>
      <c r="L15" s="248">
        <v>20</v>
      </c>
      <c r="M15" s="248">
        <v>31</v>
      </c>
      <c r="N15" s="248">
        <v>30</v>
      </c>
      <c r="O15" s="248">
        <v>13</v>
      </c>
      <c r="P15" s="248">
        <v>2</v>
      </c>
      <c r="Q15" s="247">
        <f t="shared" si="2"/>
        <v>96</v>
      </c>
      <c r="R15" s="283">
        <f t="shared" si="3"/>
        <v>0.53333333333333333</v>
      </c>
      <c r="S15" s="247">
        <v>10</v>
      </c>
      <c r="T15" s="247">
        <v>7</v>
      </c>
      <c r="U15" s="247">
        <v>21</v>
      </c>
      <c r="V15" s="247">
        <v>11</v>
      </c>
      <c r="W15" s="247">
        <v>3</v>
      </c>
      <c r="X15" s="247">
        <v>5</v>
      </c>
      <c r="Y15" s="247">
        <v>10</v>
      </c>
      <c r="Z15" s="247">
        <v>28</v>
      </c>
      <c r="AA15" s="247">
        <v>13</v>
      </c>
      <c r="AB15" s="247">
        <f>SUM(tblGrade12B[[#This Row],[MULTIPLE CHOICE  (15)]:[SCENARIO 2  (20)]])</f>
        <v>108</v>
      </c>
      <c r="AC15" s="283">
        <f t="shared" si="4"/>
        <v>0.72</v>
      </c>
      <c r="AD15" s="260">
        <f t="shared" si="5"/>
        <v>57.666666666666671</v>
      </c>
      <c r="AJ15"/>
      <c r="AK15"/>
    </row>
    <row r="16" spans="1:37" ht="16" hidden="1" customHeight="1" thickBot="1" x14ac:dyDescent="0.25">
      <c r="A16" s="258">
        <v>15</v>
      </c>
      <c r="B16" s="323" t="s">
        <v>615</v>
      </c>
      <c r="C16" s="324"/>
      <c r="D16" s="25"/>
      <c r="E16" s="25"/>
      <c r="F16" s="204">
        <f t="shared" si="6"/>
        <v>0</v>
      </c>
      <c r="G16" s="264"/>
      <c r="H16" s="52"/>
      <c r="I16" s="263">
        <f t="shared" si="0"/>
        <v>0</v>
      </c>
      <c r="J16" s="46"/>
      <c r="K16" s="174">
        <f t="shared" si="1"/>
        <v>0</v>
      </c>
      <c r="L16" s="248"/>
      <c r="M16" s="248"/>
      <c r="N16" s="248"/>
      <c r="O16" s="248"/>
      <c r="P16" s="248"/>
      <c r="Q16" s="247">
        <f t="shared" si="2"/>
        <v>0</v>
      </c>
      <c r="R16" s="283">
        <f t="shared" si="3"/>
        <v>0</v>
      </c>
      <c r="S16" s="247"/>
      <c r="T16" s="247"/>
      <c r="U16" s="247"/>
      <c r="V16" s="247"/>
      <c r="W16" s="247"/>
      <c r="X16" s="247"/>
      <c r="Y16" s="247"/>
      <c r="Z16" s="247"/>
      <c r="AA16" s="247"/>
      <c r="AB16" s="247">
        <f>SUM(tblGrade12B[[#This Row],[MULTIPLE CHOICE  (15)]:[SCENARIO 2  (20)]])</f>
        <v>0</v>
      </c>
      <c r="AC16" s="283">
        <f t="shared" si="4"/>
        <v>0</v>
      </c>
      <c r="AD16" s="260">
        <f t="shared" si="5"/>
        <v>0</v>
      </c>
      <c r="AJ16"/>
      <c r="AK16"/>
    </row>
    <row r="17" spans="1:37" ht="14.25" customHeight="1" thickBot="1" x14ac:dyDescent="0.25">
      <c r="A17" s="258">
        <v>16</v>
      </c>
      <c r="B17" s="323" t="s">
        <v>616</v>
      </c>
      <c r="C17" s="324"/>
      <c r="D17" s="25">
        <v>13</v>
      </c>
      <c r="E17" s="25">
        <v>9</v>
      </c>
      <c r="F17" s="204">
        <f t="shared" si="6"/>
        <v>22</v>
      </c>
      <c r="G17" s="264">
        <v>17</v>
      </c>
      <c r="H17" s="52">
        <v>25</v>
      </c>
      <c r="I17" s="263">
        <f t="shared" si="0"/>
        <v>54.972222222222221</v>
      </c>
      <c r="J17" s="46">
        <v>12</v>
      </c>
      <c r="K17" s="174">
        <f t="shared" si="1"/>
        <v>0.24</v>
      </c>
      <c r="L17" s="248">
        <v>17</v>
      </c>
      <c r="M17" s="248">
        <v>29</v>
      </c>
      <c r="N17" s="248">
        <v>16</v>
      </c>
      <c r="O17" s="248">
        <v>10</v>
      </c>
      <c r="P17" s="248">
        <v>0</v>
      </c>
      <c r="Q17" s="247">
        <f t="shared" si="2"/>
        <v>72</v>
      </c>
      <c r="R17" s="283">
        <f t="shared" si="3"/>
        <v>0.4</v>
      </c>
      <c r="S17" s="247">
        <v>8</v>
      </c>
      <c r="T17" s="247">
        <v>9</v>
      </c>
      <c r="U17" s="247">
        <v>19</v>
      </c>
      <c r="V17" s="247">
        <v>7</v>
      </c>
      <c r="W17" s="247">
        <v>8</v>
      </c>
      <c r="X17" s="247">
        <v>6</v>
      </c>
      <c r="Y17" s="247">
        <v>9</v>
      </c>
      <c r="Z17" s="247">
        <v>18</v>
      </c>
      <c r="AA17" s="247">
        <v>14</v>
      </c>
      <c r="AB17" s="247">
        <f>SUM(tblGrade12B[[#This Row],[MULTIPLE CHOICE  (15)]:[SCENARIO 2  (20)]])</f>
        <v>98</v>
      </c>
      <c r="AC17" s="283">
        <f t="shared" si="4"/>
        <v>0.65333333333333332</v>
      </c>
      <c r="AD17" s="260">
        <f t="shared" si="5"/>
        <v>44.066666666666663</v>
      </c>
      <c r="AJ17"/>
      <c r="AK17"/>
    </row>
    <row r="18" spans="1:37" ht="14.25" customHeight="1" thickBot="1" x14ac:dyDescent="0.25">
      <c r="A18" s="258">
        <v>17</v>
      </c>
      <c r="B18" s="323" t="s">
        <v>617</v>
      </c>
      <c r="C18" s="324"/>
      <c r="D18" s="25">
        <v>17</v>
      </c>
      <c r="E18" s="25">
        <v>8</v>
      </c>
      <c r="F18" s="204">
        <f t="shared" si="6"/>
        <v>25</v>
      </c>
      <c r="G18" s="264">
        <v>19</v>
      </c>
      <c r="H18" s="52">
        <v>39</v>
      </c>
      <c r="I18" s="263">
        <f t="shared" si="0"/>
        <v>74.938888888888897</v>
      </c>
      <c r="J18" s="46">
        <v>25</v>
      </c>
      <c r="K18" s="174">
        <f t="shared" si="1"/>
        <v>0.5</v>
      </c>
      <c r="L18" s="248">
        <v>14</v>
      </c>
      <c r="M18" s="248">
        <v>26</v>
      </c>
      <c r="N18" s="248">
        <v>29</v>
      </c>
      <c r="O18" s="248">
        <v>13</v>
      </c>
      <c r="P18" s="248">
        <v>7</v>
      </c>
      <c r="Q18" s="247">
        <f t="shared" si="2"/>
        <v>89</v>
      </c>
      <c r="R18" s="283">
        <f t="shared" si="3"/>
        <v>0.49444444444444446</v>
      </c>
      <c r="S18" s="247">
        <v>9</v>
      </c>
      <c r="T18" s="247">
        <v>6</v>
      </c>
      <c r="U18" s="247">
        <v>24</v>
      </c>
      <c r="V18" s="247">
        <v>10</v>
      </c>
      <c r="W18" s="247">
        <v>8</v>
      </c>
      <c r="X18" s="247">
        <v>6</v>
      </c>
      <c r="Y18" s="247">
        <v>7</v>
      </c>
      <c r="Z18" s="247">
        <v>24</v>
      </c>
      <c r="AA18" s="247">
        <v>15</v>
      </c>
      <c r="AB18" s="247">
        <f>SUM(tblGrade12B[[#This Row],[MULTIPLE CHOICE  (15)]:[SCENARIO 2  (20)]])</f>
        <v>109</v>
      </c>
      <c r="AC18" s="283">
        <f t="shared" si="4"/>
        <v>0.72666666666666668</v>
      </c>
      <c r="AD18" s="260">
        <f t="shared" si="5"/>
        <v>57.738888888888894</v>
      </c>
      <c r="AJ18"/>
      <c r="AK18"/>
    </row>
    <row r="19" spans="1:37" ht="14.25" customHeight="1" thickBot="1" x14ac:dyDescent="0.25">
      <c r="A19" s="258">
        <v>18</v>
      </c>
      <c r="B19" s="323" t="s">
        <v>618</v>
      </c>
      <c r="C19" s="324"/>
      <c r="D19" s="25">
        <v>18</v>
      </c>
      <c r="E19" s="25">
        <v>7</v>
      </c>
      <c r="F19" s="204">
        <f t="shared" si="6"/>
        <v>25</v>
      </c>
      <c r="G19" s="264">
        <v>18</v>
      </c>
      <c r="H19" s="52">
        <v>35</v>
      </c>
      <c r="I19" s="263">
        <f t="shared" si="0"/>
        <v>69.388888888888886</v>
      </c>
      <c r="J19" s="46">
        <v>29</v>
      </c>
      <c r="K19" s="174">
        <f t="shared" si="1"/>
        <v>0.57999999999999996</v>
      </c>
      <c r="L19" s="248">
        <v>14</v>
      </c>
      <c r="M19" s="248">
        <v>44</v>
      </c>
      <c r="N19" s="248">
        <v>40</v>
      </c>
      <c r="O19" s="248">
        <v>16</v>
      </c>
      <c r="P19" s="248">
        <v>0</v>
      </c>
      <c r="Q19" s="247">
        <f t="shared" si="2"/>
        <v>114</v>
      </c>
      <c r="R19" s="283">
        <f t="shared" si="3"/>
        <v>0.6333333333333333</v>
      </c>
      <c r="S19" s="247">
        <v>8</v>
      </c>
      <c r="T19" s="247">
        <v>7</v>
      </c>
      <c r="U19" s="247">
        <v>20</v>
      </c>
      <c r="V19" s="247">
        <v>6</v>
      </c>
      <c r="W19" s="247">
        <v>5</v>
      </c>
      <c r="X19" s="247">
        <v>6</v>
      </c>
      <c r="Y19" s="247">
        <v>10</v>
      </c>
      <c r="Z19" s="247">
        <v>17</v>
      </c>
      <c r="AA19" s="247">
        <v>9</v>
      </c>
      <c r="AB19" s="247">
        <f>SUM(tblGrade12B[[#This Row],[MULTIPLE CHOICE  (15)]:[SCENARIO 2  (20)]])</f>
        <v>88</v>
      </c>
      <c r="AC19" s="283">
        <f t="shared" si="4"/>
        <v>0.58666666666666667</v>
      </c>
      <c r="AD19" s="260">
        <f t="shared" si="5"/>
        <v>60.099999999999994</v>
      </c>
      <c r="AJ19"/>
      <c r="AK19"/>
    </row>
    <row r="20" spans="1:37" ht="16" hidden="1" customHeight="1" thickBot="1" x14ac:dyDescent="0.25">
      <c r="A20" s="258">
        <v>19</v>
      </c>
      <c r="B20" s="323" t="s">
        <v>619</v>
      </c>
      <c r="C20" s="324"/>
      <c r="D20" s="25"/>
      <c r="E20" s="25"/>
      <c r="F20" s="204">
        <f t="shared" si="6"/>
        <v>0</v>
      </c>
      <c r="G20" s="264"/>
      <c r="H20" s="52"/>
      <c r="I20" s="263">
        <f t="shared" si="0"/>
        <v>0</v>
      </c>
      <c r="J20" s="46"/>
      <c r="K20" s="174">
        <f t="shared" si="1"/>
        <v>0</v>
      </c>
      <c r="L20" s="248"/>
      <c r="M20" s="248"/>
      <c r="N20" s="248"/>
      <c r="O20" s="248"/>
      <c r="P20" s="248"/>
      <c r="Q20" s="247">
        <f t="shared" si="2"/>
        <v>0</v>
      </c>
      <c r="R20" s="283">
        <f t="shared" si="3"/>
        <v>0</v>
      </c>
      <c r="S20" s="247"/>
      <c r="T20" s="247"/>
      <c r="U20" s="247"/>
      <c r="V20" s="247"/>
      <c r="W20" s="247"/>
      <c r="X20" s="247"/>
      <c r="Y20" s="247"/>
      <c r="Z20" s="247"/>
      <c r="AA20" s="247"/>
      <c r="AB20" s="247">
        <f>SUM(tblGrade12B[[#This Row],[MULTIPLE CHOICE  (15)]:[SCENARIO 2  (20)]])</f>
        <v>0</v>
      </c>
      <c r="AC20" s="283">
        <f t="shared" si="4"/>
        <v>0</v>
      </c>
      <c r="AD20" s="260">
        <f t="shared" si="5"/>
        <v>0</v>
      </c>
      <c r="AJ20"/>
      <c r="AK20"/>
    </row>
    <row r="21" spans="1:37" ht="16" hidden="1" customHeight="1" thickBot="1" x14ac:dyDescent="0.25">
      <c r="A21" s="258">
        <v>20</v>
      </c>
      <c r="B21" s="323" t="s">
        <v>620</v>
      </c>
      <c r="C21" s="324"/>
      <c r="D21" s="25"/>
      <c r="E21" s="25"/>
      <c r="F21" s="204">
        <f t="shared" si="6"/>
        <v>0</v>
      </c>
      <c r="G21" s="264"/>
      <c r="H21" s="52"/>
      <c r="I21" s="263">
        <f t="shared" si="0"/>
        <v>0</v>
      </c>
      <c r="J21" s="46"/>
      <c r="K21" s="174">
        <f t="shared" si="1"/>
        <v>0</v>
      </c>
      <c r="L21" s="248"/>
      <c r="M21" s="248"/>
      <c r="N21" s="248"/>
      <c r="O21" s="248"/>
      <c r="P21" s="248"/>
      <c r="Q21" s="247">
        <f t="shared" si="2"/>
        <v>0</v>
      </c>
      <c r="R21" s="283">
        <f t="shared" si="3"/>
        <v>0</v>
      </c>
      <c r="S21" s="247"/>
      <c r="T21" s="247"/>
      <c r="U21" s="247"/>
      <c r="V21" s="247"/>
      <c r="W21" s="247"/>
      <c r="X21" s="247"/>
      <c r="Y21" s="247"/>
      <c r="Z21" s="247"/>
      <c r="AA21" s="247"/>
      <c r="AB21" s="247">
        <f>SUM(tblGrade12B[[#This Row],[MULTIPLE CHOICE  (15)]:[SCENARIO 2  (20)]])</f>
        <v>0</v>
      </c>
      <c r="AC21" s="283">
        <f t="shared" si="4"/>
        <v>0</v>
      </c>
      <c r="AD21" s="260">
        <f t="shared" si="5"/>
        <v>0</v>
      </c>
      <c r="AJ21"/>
      <c r="AK21"/>
    </row>
    <row r="22" spans="1:37" ht="16" hidden="1" thickBot="1" x14ac:dyDescent="0.25">
      <c r="A22" s="258">
        <v>21</v>
      </c>
      <c r="B22" s="323" t="s">
        <v>621</v>
      </c>
      <c r="C22" s="324"/>
      <c r="D22" s="25"/>
      <c r="E22" s="25"/>
      <c r="F22" s="204">
        <f t="shared" si="6"/>
        <v>0</v>
      </c>
      <c r="G22" s="264"/>
      <c r="H22" s="52"/>
      <c r="I22" s="263">
        <f t="shared" si="0"/>
        <v>0</v>
      </c>
      <c r="J22" s="46"/>
      <c r="K22" s="174">
        <f t="shared" si="1"/>
        <v>0</v>
      </c>
      <c r="L22" s="248"/>
      <c r="M22" s="248"/>
      <c r="N22" s="248"/>
      <c r="O22" s="248"/>
      <c r="P22" s="248"/>
      <c r="Q22" s="247">
        <f t="shared" si="2"/>
        <v>0</v>
      </c>
      <c r="R22" s="283">
        <f t="shared" si="3"/>
        <v>0</v>
      </c>
      <c r="S22" s="247"/>
      <c r="T22" s="247"/>
      <c r="U22" s="247"/>
      <c r="V22" s="247"/>
      <c r="W22" s="247"/>
      <c r="X22" s="247"/>
      <c r="Y22" s="247"/>
      <c r="Z22" s="247"/>
      <c r="AA22" s="247"/>
      <c r="AB22" s="247">
        <f>SUM(tblGrade12B[[#This Row],[MULTIPLE CHOICE  (15)]:[SCENARIO 2  (20)]])</f>
        <v>0</v>
      </c>
      <c r="AC22" s="283">
        <f t="shared" si="4"/>
        <v>0</v>
      </c>
      <c r="AD22" s="260">
        <f t="shared" si="5"/>
        <v>0</v>
      </c>
      <c r="AJ22"/>
      <c r="AK22"/>
    </row>
    <row r="23" spans="1:37" ht="14.25" customHeight="1" thickBot="1" x14ac:dyDescent="0.25">
      <c r="A23" s="258">
        <v>22</v>
      </c>
      <c r="B23" s="323" t="s">
        <v>622</v>
      </c>
      <c r="C23" s="324"/>
      <c r="D23" s="25">
        <v>20</v>
      </c>
      <c r="E23" s="25">
        <v>18</v>
      </c>
      <c r="F23" s="204">
        <f t="shared" si="6"/>
        <v>38</v>
      </c>
      <c r="G23" s="264">
        <v>18</v>
      </c>
      <c r="H23" s="52">
        <v>48</v>
      </c>
      <c r="I23" s="263">
        <f t="shared" si="0"/>
        <v>92.211111111111109</v>
      </c>
      <c r="J23" s="46">
        <v>50</v>
      </c>
      <c r="K23" s="174">
        <f t="shared" si="1"/>
        <v>1</v>
      </c>
      <c r="L23" s="248">
        <v>17</v>
      </c>
      <c r="M23" s="248">
        <v>47</v>
      </c>
      <c r="N23" s="248">
        <v>47</v>
      </c>
      <c r="O23" s="248">
        <v>27</v>
      </c>
      <c r="P23" s="248">
        <v>20</v>
      </c>
      <c r="Q23" s="247">
        <f t="shared" si="2"/>
        <v>158</v>
      </c>
      <c r="R23" s="283">
        <f t="shared" si="3"/>
        <v>0.87777777777777777</v>
      </c>
      <c r="S23" s="247">
        <v>10</v>
      </c>
      <c r="T23" s="247">
        <v>9</v>
      </c>
      <c r="U23" s="247">
        <v>25</v>
      </c>
      <c r="V23" s="247">
        <v>14</v>
      </c>
      <c r="W23" s="247">
        <v>8</v>
      </c>
      <c r="X23" s="247">
        <v>7</v>
      </c>
      <c r="Y23" s="247">
        <v>14</v>
      </c>
      <c r="Z23" s="247">
        <v>24</v>
      </c>
      <c r="AA23" s="247">
        <v>17</v>
      </c>
      <c r="AB23" s="247">
        <f>SUM(tblGrade12B[[#This Row],[MULTIPLE CHOICE  (15)]:[SCENARIO 2  (20)]])</f>
        <v>128</v>
      </c>
      <c r="AC23" s="283">
        <f t="shared" si="4"/>
        <v>0.85333333333333339</v>
      </c>
      <c r="AD23" s="260">
        <f t="shared" si="5"/>
        <v>90.588888888888889</v>
      </c>
      <c r="AJ23"/>
      <c r="AK23"/>
    </row>
    <row r="24" spans="1:37" ht="16" hidden="1" customHeight="1" thickBot="1" x14ac:dyDescent="0.25">
      <c r="A24" s="258">
        <v>23</v>
      </c>
      <c r="B24" s="323" t="s">
        <v>623</v>
      </c>
      <c r="C24" s="324"/>
      <c r="D24" s="25">
        <v>10</v>
      </c>
      <c r="E24" s="25">
        <v>0</v>
      </c>
      <c r="F24" s="204">
        <f t="shared" si="6"/>
        <v>10</v>
      </c>
      <c r="G24" s="264">
        <v>8</v>
      </c>
      <c r="H24" s="52">
        <v>21</v>
      </c>
      <c r="I24" s="263">
        <f t="shared" si="0"/>
        <v>36.755555555555553</v>
      </c>
      <c r="J24" s="46"/>
      <c r="K24" s="174"/>
      <c r="L24" s="248"/>
      <c r="M24" s="248"/>
      <c r="N24" s="248"/>
      <c r="O24" s="248"/>
      <c r="P24" s="248"/>
      <c r="Q24" s="247">
        <f t="shared" si="2"/>
        <v>0</v>
      </c>
      <c r="R24" s="283">
        <f t="shared" si="3"/>
        <v>0</v>
      </c>
      <c r="S24" s="247"/>
      <c r="T24" s="247"/>
      <c r="U24" s="247"/>
      <c r="V24" s="247"/>
      <c r="W24" s="247"/>
      <c r="X24" s="247"/>
      <c r="Y24" s="247"/>
      <c r="Z24" s="247"/>
      <c r="AA24" s="247"/>
      <c r="AB24" s="247">
        <f>SUM(tblGrade12B[[#This Row],[MULTIPLE CHOICE  (15)]:[SCENARIO 2  (20)]])</f>
        <v>0</v>
      </c>
      <c r="AC24" s="283">
        <f t="shared" si="4"/>
        <v>0</v>
      </c>
      <c r="AD24" s="260">
        <f t="shared" si="5"/>
        <v>0</v>
      </c>
      <c r="AJ24"/>
      <c r="AK24"/>
    </row>
    <row r="25" spans="1:37" ht="16" thickBot="1" x14ac:dyDescent="0.25">
      <c r="A25" s="258">
        <v>24</v>
      </c>
      <c r="B25" s="323" t="s">
        <v>624</v>
      </c>
      <c r="C25" s="324"/>
      <c r="D25" s="25">
        <v>18</v>
      </c>
      <c r="E25" s="25">
        <v>6</v>
      </c>
      <c r="F25" s="204">
        <f t="shared" si="6"/>
        <v>24</v>
      </c>
      <c r="G25" s="265"/>
      <c r="H25" s="52">
        <v>22</v>
      </c>
      <c r="I25" s="263">
        <f t="shared" si="0"/>
        <v>39.733333333333334</v>
      </c>
      <c r="J25" s="46">
        <v>21</v>
      </c>
      <c r="K25" s="174">
        <f t="shared" ref="K25:K32" si="7">J25/50</f>
        <v>0.42</v>
      </c>
      <c r="L25" s="248">
        <v>13</v>
      </c>
      <c r="M25" s="248">
        <v>31</v>
      </c>
      <c r="N25" s="248">
        <v>15</v>
      </c>
      <c r="O25" s="248">
        <v>19</v>
      </c>
      <c r="P25" s="248">
        <v>0</v>
      </c>
      <c r="Q25" s="247">
        <f t="shared" si="2"/>
        <v>78</v>
      </c>
      <c r="R25" s="283">
        <f t="shared" si="3"/>
        <v>0.43333333333333335</v>
      </c>
      <c r="S25" s="247">
        <v>11</v>
      </c>
      <c r="T25" s="247">
        <v>6</v>
      </c>
      <c r="U25" s="247">
        <v>20</v>
      </c>
      <c r="V25" s="247">
        <v>9</v>
      </c>
      <c r="W25" s="247">
        <v>7</v>
      </c>
      <c r="X25" s="247">
        <v>8</v>
      </c>
      <c r="Y25" s="247">
        <v>4</v>
      </c>
      <c r="Z25" s="247">
        <v>19</v>
      </c>
      <c r="AA25" s="247">
        <v>12</v>
      </c>
      <c r="AB25" s="247">
        <f>SUM(tblGrade12B[[#This Row],[MULTIPLE CHOICE  (15)]:[SCENARIO 2  (20)]])</f>
        <v>96</v>
      </c>
      <c r="AC25" s="283">
        <f t="shared" si="4"/>
        <v>0.64</v>
      </c>
      <c r="AD25" s="260">
        <f t="shared" si="5"/>
        <v>50.166666666666671</v>
      </c>
      <c r="AJ25"/>
      <c r="AK25"/>
    </row>
    <row r="26" spans="1:37" ht="16" hidden="1" customHeight="1" thickBot="1" x14ac:dyDescent="0.25">
      <c r="A26" s="258">
        <v>25</v>
      </c>
      <c r="B26" s="323" t="s">
        <v>625</v>
      </c>
      <c r="C26" s="324"/>
      <c r="D26" s="25"/>
      <c r="E26" s="25"/>
      <c r="F26" s="204">
        <f t="shared" si="6"/>
        <v>0</v>
      </c>
      <c r="G26" s="264"/>
      <c r="H26" s="52"/>
      <c r="I26" s="263">
        <f t="shared" si="0"/>
        <v>0</v>
      </c>
      <c r="J26" s="46"/>
      <c r="K26" s="174">
        <f t="shared" si="7"/>
        <v>0</v>
      </c>
      <c r="L26" s="248"/>
      <c r="M26" s="248"/>
      <c r="N26" s="248"/>
      <c r="O26" s="248"/>
      <c r="P26" s="248"/>
      <c r="Q26" s="247">
        <f t="shared" si="2"/>
        <v>0</v>
      </c>
      <c r="R26" s="283">
        <f t="shared" si="3"/>
        <v>0</v>
      </c>
      <c r="S26" s="247"/>
      <c r="T26" s="247"/>
      <c r="U26" s="247"/>
      <c r="V26" s="247"/>
      <c r="W26" s="247"/>
      <c r="X26" s="247"/>
      <c r="Y26" s="247"/>
      <c r="Z26" s="247"/>
      <c r="AA26" s="247"/>
      <c r="AB26" s="247">
        <f>SUM(tblGrade12B[[#This Row],[MULTIPLE CHOICE  (15)]:[SCENARIO 2  (20)]])</f>
        <v>0</v>
      </c>
      <c r="AC26" s="283">
        <f t="shared" si="4"/>
        <v>0</v>
      </c>
      <c r="AD26" s="260">
        <f t="shared" si="5"/>
        <v>0</v>
      </c>
      <c r="AJ26"/>
      <c r="AK26"/>
    </row>
    <row r="27" spans="1:37" ht="16" hidden="1" thickBot="1" x14ac:dyDescent="0.25">
      <c r="A27" s="258">
        <v>26</v>
      </c>
      <c r="B27" s="323" t="s">
        <v>626</v>
      </c>
      <c r="C27" s="324"/>
      <c r="D27" s="25"/>
      <c r="E27" s="25"/>
      <c r="F27" s="204">
        <f t="shared" si="6"/>
        <v>0</v>
      </c>
      <c r="G27" s="264"/>
      <c r="H27" s="52"/>
      <c r="I27" s="263">
        <f t="shared" si="0"/>
        <v>0</v>
      </c>
      <c r="J27" s="46"/>
      <c r="K27" s="174">
        <f t="shared" si="7"/>
        <v>0</v>
      </c>
      <c r="L27" s="248"/>
      <c r="M27" s="248"/>
      <c r="N27" s="248"/>
      <c r="O27" s="248"/>
      <c r="P27" s="248"/>
      <c r="Q27" s="247">
        <f t="shared" si="2"/>
        <v>0</v>
      </c>
      <c r="R27" s="283">
        <f t="shared" si="3"/>
        <v>0</v>
      </c>
      <c r="S27" s="247"/>
      <c r="T27" s="247"/>
      <c r="U27" s="247"/>
      <c r="V27" s="247"/>
      <c r="W27" s="247"/>
      <c r="X27" s="247"/>
      <c r="Y27" s="247"/>
      <c r="Z27" s="247"/>
      <c r="AA27" s="247"/>
      <c r="AB27" s="247">
        <f>SUM(tblGrade12B[[#This Row],[MULTIPLE CHOICE  (15)]:[SCENARIO 2  (20)]])</f>
        <v>0</v>
      </c>
      <c r="AC27" s="283">
        <f t="shared" si="4"/>
        <v>0</v>
      </c>
      <c r="AD27" s="260">
        <f t="shared" si="5"/>
        <v>0</v>
      </c>
      <c r="AJ27"/>
      <c r="AK27"/>
    </row>
    <row r="28" spans="1:37" ht="16" hidden="1" thickBot="1" x14ac:dyDescent="0.25">
      <c r="A28" s="258">
        <v>27</v>
      </c>
      <c r="B28" s="323" t="s">
        <v>627</v>
      </c>
      <c r="C28" s="324"/>
      <c r="D28" s="25"/>
      <c r="E28" s="25"/>
      <c r="F28" s="204">
        <f t="shared" si="6"/>
        <v>0</v>
      </c>
      <c r="G28" s="264"/>
      <c r="H28" s="52"/>
      <c r="I28" s="263">
        <f t="shared" si="0"/>
        <v>0</v>
      </c>
      <c r="J28" s="46"/>
      <c r="K28" s="174">
        <f t="shared" si="7"/>
        <v>0</v>
      </c>
      <c r="L28" s="248"/>
      <c r="M28" s="248"/>
      <c r="N28" s="248"/>
      <c r="O28" s="248"/>
      <c r="P28" s="248"/>
      <c r="Q28" s="247">
        <f t="shared" si="2"/>
        <v>0</v>
      </c>
      <c r="R28" s="283">
        <f t="shared" si="3"/>
        <v>0</v>
      </c>
      <c r="S28" s="247"/>
      <c r="T28" s="247"/>
      <c r="U28" s="247"/>
      <c r="V28" s="247"/>
      <c r="W28" s="247"/>
      <c r="X28" s="247"/>
      <c r="Y28" s="247"/>
      <c r="Z28" s="247"/>
      <c r="AA28" s="247"/>
      <c r="AB28" s="247">
        <f>SUM(tblGrade12B[[#This Row],[MULTIPLE CHOICE  (15)]:[SCENARIO 2  (20)]])</f>
        <v>0</v>
      </c>
      <c r="AC28" s="283">
        <f t="shared" si="4"/>
        <v>0</v>
      </c>
      <c r="AD28" s="260">
        <f t="shared" si="5"/>
        <v>0</v>
      </c>
      <c r="AJ28"/>
      <c r="AK28"/>
    </row>
    <row r="29" spans="1:37" ht="14.25" customHeight="1" thickBot="1" x14ac:dyDescent="0.25">
      <c r="A29" s="258">
        <v>28</v>
      </c>
      <c r="B29" s="323" t="s">
        <v>628</v>
      </c>
      <c r="C29" s="324"/>
      <c r="D29" s="25">
        <v>17</v>
      </c>
      <c r="E29" s="25">
        <v>10</v>
      </c>
      <c r="F29" s="204">
        <f t="shared" si="6"/>
        <v>27</v>
      </c>
      <c r="G29" s="264">
        <v>18</v>
      </c>
      <c r="H29" s="52">
        <v>44</v>
      </c>
      <c r="I29" s="263">
        <f t="shared" si="0"/>
        <v>81.3</v>
      </c>
      <c r="J29" s="46">
        <v>36</v>
      </c>
      <c r="K29" s="174">
        <f t="shared" si="7"/>
        <v>0.72</v>
      </c>
      <c r="L29" s="247">
        <v>17</v>
      </c>
      <c r="M29" s="247">
        <v>27</v>
      </c>
      <c r="N29" s="247">
        <v>43</v>
      </c>
      <c r="O29" s="247">
        <v>8</v>
      </c>
      <c r="P29" s="247">
        <v>6</v>
      </c>
      <c r="Q29" s="247">
        <f t="shared" si="2"/>
        <v>101</v>
      </c>
      <c r="R29" s="283">
        <f t="shared" si="3"/>
        <v>0.56111111111111112</v>
      </c>
      <c r="S29" s="247">
        <v>11</v>
      </c>
      <c r="T29" s="247">
        <v>6</v>
      </c>
      <c r="U29" s="247">
        <v>24</v>
      </c>
      <c r="V29" s="247">
        <v>7</v>
      </c>
      <c r="W29" s="247">
        <v>6</v>
      </c>
      <c r="X29" s="247">
        <v>6</v>
      </c>
      <c r="Y29" s="247">
        <v>11</v>
      </c>
      <c r="Z29" s="247">
        <v>16</v>
      </c>
      <c r="AA29" s="247">
        <v>15</v>
      </c>
      <c r="AB29" s="247">
        <f>SUM(tblGrade12B[[#This Row],[MULTIPLE CHOICE  (15)]:[SCENARIO 2  (20)]])</f>
        <v>102</v>
      </c>
      <c r="AC29" s="283">
        <f t="shared" si="4"/>
        <v>0.68</v>
      </c>
      <c r="AD29" s="260">
        <f t="shared" si="5"/>
        <v>65.038888888888891</v>
      </c>
      <c r="AJ29"/>
      <c r="AK29"/>
    </row>
    <row r="30" spans="1:37" ht="16" hidden="1" customHeight="1" thickBot="1" x14ac:dyDescent="0.25">
      <c r="A30" s="258">
        <v>29</v>
      </c>
      <c r="B30" s="323" t="s">
        <v>629</v>
      </c>
      <c r="C30" s="324"/>
      <c r="D30" s="25"/>
      <c r="E30" s="25"/>
      <c r="F30" s="204">
        <f t="shared" si="6"/>
        <v>0</v>
      </c>
      <c r="G30" s="264"/>
      <c r="H30" s="52"/>
      <c r="I30" s="263">
        <f t="shared" si="0"/>
        <v>0</v>
      </c>
      <c r="J30" s="46"/>
      <c r="K30" s="174">
        <f t="shared" si="7"/>
        <v>0</v>
      </c>
      <c r="L30" s="247"/>
      <c r="M30" s="247"/>
      <c r="N30" s="247"/>
      <c r="O30" s="247"/>
      <c r="P30" s="247"/>
      <c r="Q30" s="247">
        <f t="shared" si="2"/>
        <v>0</v>
      </c>
      <c r="R30" s="283">
        <f t="shared" si="3"/>
        <v>0</v>
      </c>
      <c r="S30" s="247"/>
      <c r="T30" s="247"/>
      <c r="U30" s="247"/>
      <c r="V30" s="247"/>
      <c r="W30" s="247"/>
      <c r="X30" s="247"/>
      <c r="Y30" s="247"/>
      <c r="Z30" s="247"/>
      <c r="AA30" s="247"/>
      <c r="AB30" s="247">
        <f>SUM(tblGrade12B[[#This Row],[MULTIPLE CHOICE  (15)]:[SCENARIO 2  (20)]])</f>
        <v>0</v>
      </c>
      <c r="AC30" s="283">
        <f t="shared" si="4"/>
        <v>0</v>
      </c>
      <c r="AD30" s="260">
        <f t="shared" si="5"/>
        <v>0</v>
      </c>
      <c r="AJ30"/>
      <c r="AK30"/>
    </row>
    <row r="31" spans="1:37" ht="16" hidden="1" customHeight="1" thickBot="1" x14ac:dyDescent="0.25">
      <c r="A31" s="258">
        <v>30</v>
      </c>
      <c r="B31" s="323" t="s">
        <v>630</v>
      </c>
      <c r="C31" s="324"/>
      <c r="D31" s="25"/>
      <c r="E31" s="25"/>
      <c r="F31" s="204">
        <f t="shared" si="6"/>
        <v>0</v>
      </c>
      <c r="G31" s="264"/>
      <c r="H31" s="52"/>
      <c r="I31" s="263">
        <f t="shared" si="0"/>
        <v>0</v>
      </c>
      <c r="J31" s="46"/>
      <c r="K31" s="174">
        <f t="shared" si="7"/>
        <v>0</v>
      </c>
      <c r="L31" s="247"/>
      <c r="M31" s="247"/>
      <c r="N31" s="247"/>
      <c r="O31" s="247"/>
      <c r="P31" s="247"/>
      <c r="Q31" s="247">
        <f t="shared" si="2"/>
        <v>0</v>
      </c>
      <c r="R31" s="283">
        <f t="shared" si="3"/>
        <v>0</v>
      </c>
      <c r="S31" s="247"/>
      <c r="T31" s="247"/>
      <c r="U31" s="247"/>
      <c r="V31" s="247"/>
      <c r="W31" s="247"/>
      <c r="X31" s="247"/>
      <c r="Y31" s="247"/>
      <c r="Z31" s="247"/>
      <c r="AA31" s="247"/>
      <c r="AB31" s="247">
        <f>SUM(tblGrade12B[[#This Row],[MULTIPLE CHOICE  (15)]:[SCENARIO 2  (20)]])</f>
        <v>0</v>
      </c>
      <c r="AC31" s="283">
        <f t="shared" si="4"/>
        <v>0</v>
      </c>
      <c r="AD31" s="260">
        <f t="shared" si="5"/>
        <v>0</v>
      </c>
      <c r="AJ31"/>
      <c r="AK31"/>
    </row>
    <row r="32" spans="1:37" ht="14.25" customHeight="1" thickBot="1" x14ac:dyDescent="0.25">
      <c r="A32" s="259">
        <v>31</v>
      </c>
      <c r="B32" s="323" t="s">
        <v>631</v>
      </c>
      <c r="C32" s="325"/>
      <c r="D32" s="43">
        <v>17</v>
      </c>
      <c r="E32" s="43">
        <v>11</v>
      </c>
      <c r="F32" s="268">
        <f t="shared" si="6"/>
        <v>28</v>
      </c>
      <c r="G32" s="266">
        <v>18</v>
      </c>
      <c r="H32" s="221">
        <v>38</v>
      </c>
      <c r="I32" s="263">
        <f t="shared" si="0"/>
        <v>74.655555555555566</v>
      </c>
      <c r="J32" s="47">
        <v>34</v>
      </c>
      <c r="K32" s="262">
        <f t="shared" si="7"/>
        <v>0.68</v>
      </c>
      <c r="L32" s="47">
        <v>17</v>
      </c>
      <c r="M32" s="249">
        <v>39</v>
      </c>
      <c r="N32" s="47">
        <v>42</v>
      </c>
      <c r="O32" s="236">
        <v>32</v>
      </c>
      <c r="P32" s="47">
        <v>15</v>
      </c>
      <c r="Q32" s="247">
        <f t="shared" si="2"/>
        <v>145</v>
      </c>
      <c r="R32" s="283">
        <f t="shared" si="3"/>
        <v>0.80555555555555558</v>
      </c>
      <c r="S32" s="247">
        <v>11</v>
      </c>
      <c r="T32" s="247">
        <v>8</v>
      </c>
      <c r="U32" s="247">
        <v>21</v>
      </c>
      <c r="V32" s="247">
        <v>10</v>
      </c>
      <c r="W32" s="247">
        <v>7</v>
      </c>
      <c r="X32" s="247">
        <v>5</v>
      </c>
      <c r="Y32" s="247">
        <v>11</v>
      </c>
      <c r="Z32" s="247">
        <v>26</v>
      </c>
      <c r="AA32" s="247">
        <v>19</v>
      </c>
      <c r="AB32" s="247">
        <f>SUM(tblGrade12B[[#This Row],[MULTIPLE CHOICE  (15)]:[SCENARIO 2  (20)]])</f>
        <v>118</v>
      </c>
      <c r="AC32" s="283">
        <f t="shared" si="4"/>
        <v>0.78666666666666663</v>
      </c>
      <c r="AD32" s="260">
        <f t="shared" si="5"/>
        <v>76.12777777777778</v>
      </c>
      <c r="AJ32"/>
      <c r="AK32"/>
    </row>
    <row r="33" spans="36:60" ht="14.25" customHeight="1" x14ac:dyDescent="0.2">
      <c r="AJ33"/>
      <c r="AK33"/>
    </row>
    <row r="34" spans="36:60" ht="14.25" customHeight="1" x14ac:dyDescent="0.2">
      <c r="AJ34"/>
      <c r="AK34"/>
    </row>
    <row r="35" spans="36:60" ht="14.25" customHeight="1" x14ac:dyDescent="0.2">
      <c r="AJ35"/>
      <c r="AK35"/>
    </row>
    <row r="36" spans="36:60" ht="14.25" customHeight="1" x14ac:dyDescent="0.2">
      <c r="AJ36"/>
      <c r="AK36"/>
    </row>
    <row r="37" spans="36:60" ht="14.25" customHeight="1" x14ac:dyDescent="0.2">
      <c r="AJ37"/>
      <c r="AK37"/>
    </row>
    <row r="38" spans="36:60" ht="14.25" customHeight="1" x14ac:dyDescent="0.2">
      <c r="AJ38"/>
      <c r="AK38"/>
    </row>
    <row r="39" spans="36:60" ht="14.25" customHeight="1" x14ac:dyDescent="0.2">
      <c r="AJ39"/>
      <c r="AK39"/>
    </row>
    <row r="40" spans="36:60" ht="14.25" customHeight="1" x14ac:dyDescent="0.2">
      <c r="AJ40"/>
      <c r="AK40"/>
    </row>
    <row r="41" spans="36:60" ht="14.25" customHeight="1" x14ac:dyDescent="0.2">
      <c r="AJ41"/>
      <c r="AK41"/>
    </row>
    <row r="42" spans="36:60" ht="14.25" customHeight="1" x14ac:dyDescent="0.2">
      <c r="AJ42"/>
      <c r="AK42"/>
    </row>
    <row r="43" spans="36:60" ht="14.25" customHeight="1" x14ac:dyDescent="0.2">
      <c r="AJ43"/>
      <c r="AK43"/>
      <c r="BH43" s="112" t="s">
        <v>654</v>
      </c>
    </row>
    <row r="44" spans="36:60" ht="14.25" customHeight="1" x14ac:dyDescent="0.2">
      <c r="AJ44"/>
      <c r="AK44"/>
    </row>
    <row r="45" spans="36:60" ht="14.25" customHeight="1" x14ac:dyDescent="0.2">
      <c r="AJ45"/>
      <c r="AK45"/>
    </row>
    <row r="46" spans="36:60" ht="14.25" customHeight="1" x14ac:dyDescent="0.2">
      <c r="AJ46"/>
      <c r="AK46"/>
    </row>
    <row r="47" spans="36:60" ht="14.25" customHeight="1" x14ac:dyDescent="0.2">
      <c r="AJ47"/>
      <c r="AK47"/>
    </row>
    <row r="48" spans="36:60" ht="14.25" customHeight="1" x14ac:dyDescent="0.2">
      <c r="AJ48"/>
      <c r="AK48"/>
    </row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</sheetData>
  <phoneticPr fontId="14" type="noConversion"/>
  <conditionalFormatting sqref="R2:R32">
    <cfRule type="top10" dxfId="5" priority="3" bottom="1" rank="18"/>
    <cfRule type="top10" dxfId="4" priority="7" rank="4"/>
  </conditionalFormatting>
  <conditionalFormatting sqref="AC2:AC32">
    <cfRule type="top10" dxfId="3" priority="2" bottom="1" rank="18"/>
    <cfRule type="top10" dxfId="2" priority="8" rank="4"/>
  </conditionalFormatting>
  <conditionalFormatting sqref="AD2:AD32">
    <cfRule type="top10" dxfId="1" priority="1" bottom="1" rank="18"/>
    <cfRule type="top10" dxfId="0" priority="9" rank="4"/>
  </conditionalFormatting>
  <pageMargins left="0.7" right="0.7" top="0.75" bottom="0.75" header="0" footer="0"/>
  <pageSetup orientation="landscape" r:id="rId1"/>
  <ignoredErrors>
    <ignoredError sqref="AB6" calculatedColumn="1"/>
  </ignoredErrors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FB89-E209-344F-BD59-37E5DA47FE14}">
  <dimension ref="A1:S37"/>
  <sheetViews>
    <sheetView zoomScale="75" zoomScaleNormal="64" workbookViewId="0">
      <selection activeCell="P32" sqref="P32"/>
    </sheetView>
  </sheetViews>
  <sheetFormatPr baseColWidth="10" defaultRowHeight="15" x14ac:dyDescent="0.2"/>
  <cols>
    <col min="1" max="1" width="15.33203125" style="286" customWidth="1"/>
    <col min="2" max="3" width="10.83203125" style="286"/>
    <col min="4" max="4" width="15.6640625" style="286" customWidth="1"/>
    <col min="5" max="6" width="10.83203125" style="286"/>
    <col min="7" max="7" width="15.5" style="286" customWidth="1"/>
    <col min="8" max="9" width="10.83203125" style="286"/>
    <col min="10" max="10" width="16" style="286" customWidth="1"/>
    <col min="11" max="12" width="10.83203125" style="286"/>
    <col min="13" max="13" width="14.83203125" style="286" customWidth="1"/>
    <col min="14" max="18" width="10.83203125" style="286"/>
    <col min="19" max="19" width="3.1640625" style="290" customWidth="1"/>
    <col min="20" max="16384" width="10.83203125" style="286"/>
  </cols>
  <sheetData>
    <row r="1" spans="1:17" ht="16" x14ac:dyDescent="0.25">
      <c r="A1" s="285" t="s">
        <v>576</v>
      </c>
      <c r="D1" s="304" t="s">
        <v>556</v>
      </c>
      <c r="E1" s="299">
        <f>_xlfn.XLOOKUP($A$1, tblGrade12A[PREFERRED NAME], tblGrade12A[FILE AND FOLDER MANAGEMENT (20)])/20</f>
        <v>0.85</v>
      </c>
      <c r="G1" s="292" t="s">
        <v>561</v>
      </c>
      <c r="H1" s="293">
        <f>_xlfn.XLOOKUP($A$1, tblGrade12A[PREFERRED NAME], tblGrade12A[MULTIPLE CHOICE  (15)])/15</f>
        <v>0.53333333333333333</v>
      </c>
      <c r="J1" s="287"/>
      <c r="K1" s="288"/>
      <c r="M1" s="292" t="s">
        <v>570</v>
      </c>
      <c r="N1" s="293">
        <f>_xlfn.XLOOKUP($A$1, tblGrade12A[PREFERRED NAME], tblGrade12A[FAT  (%)]) * 0.3</f>
        <v>8.4000000000000005E-2</v>
      </c>
      <c r="P1" s="287"/>
      <c r="Q1" s="288"/>
    </row>
    <row r="2" spans="1:17" ht="16" x14ac:dyDescent="0.25">
      <c r="D2" s="305" t="s">
        <v>557</v>
      </c>
      <c r="E2" s="301">
        <f>_xlfn.XLOOKUP($A$1, tblGrade12A[PREFERRED NAME], tblGrade12A[WORD PROCESSING (50)])/50</f>
        <v>0.36</v>
      </c>
      <c r="G2" s="294" t="s">
        <v>562</v>
      </c>
      <c r="H2" s="295">
        <f>_xlfn.XLOOKUP($A$1, tblGrade12A[PREFERRED NAME], tblGrade12A[DEFINITIONS  (10)])/10</f>
        <v>0.5</v>
      </c>
      <c r="J2" s="287"/>
      <c r="K2" s="288"/>
      <c r="M2" s="294" t="s">
        <v>571</v>
      </c>
      <c r="N2" s="295">
        <f>_xlfn.XLOOKUP($A$1, tblGrade12A[PREFERRED NAME], tblGrade12A[PRAC EXAM MARK  (%)]) * 0.35</f>
        <v>0.12638888888888888</v>
      </c>
      <c r="P2" s="287"/>
      <c r="Q2" s="288"/>
    </row>
    <row r="3" spans="1:17" ht="17" thickBot="1" x14ac:dyDescent="0.3">
      <c r="D3" s="305" t="s">
        <v>558</v>
      </c>
      <c r="E3" s="306">
        <f>(_xlfn.XLOOKUP($A$1, tblGrade12A[PREFERRED NAME], tblGrade12A[SPEADSHEETS  (50)]))/50</f>
        <v>0.54</v>
      </c>
      <c r="G3" s="294" t="s">
        <v>563</v>
      </c>
      <c r="H3" s="295">
        <f>_xlfn.XLOOKUP($A$1, tblGrade12A[PREFERRED NAME], tblGrade12A[SYSTEM TECH  (25)])/25</f>
        <v>0.44</v>
      </c>
      <c r="J3" s="287"/>
      <c r="K3" s="288"/>
      <c r="M3" s="296" t="s">
        <v>572</v>
      </c>
      <c r="N3" s="297">
        <f>_xlfn.XLOOKUP($A$1, tblGrade12A[PREFERRED NAME], tblGrade12A[THEORY EXAM MARK  (%)]) * 0.35</f>
        <v>0.14699999999999999</v>
      </c>
      <c r="P3" s="287"/>
      <c r="Q3" s="288"/>
    </row>
    <row r="4" spans="1:17" ht="16" x14ac:dyDescent="0.25">
      <c r="D4" s="305" t="s">
        <v>559</v>
      </c>
      <c r="E4" s="306">
        <f>(_xlfn.XLOOKUP($A$1, tblGrade12A[PREFERRED NAME], tblGrade12A[DATABASE  (40)]))/40</f>
        <v>7.4999999999999997E-2</v>
      </c>
      <c r="G4" s="294" t="s">
        <v>564</v>
      </c>
      <c r="H4" s="295">
        <f>_xlfn.XLOOKUP($A$1, tblGrade12A[PREFERRED NAME], tblGrade12A[NETWORK TECH  (15)])/15</f>
        <v>0.6</v>
      </c>
    </row>
    <row r="5" spans="1:17" ht="17" thickBot="1" x14ac:dyDescent="0.3">
      <c r="D5" s="307" t="s">
        <v>560</v>
      </c>
      <c r="E5" s="308">
        <f>(_xlfn.XLOOKUP($A$1, tblGrade12A[PREFERRED NAME], tblGrade12A[HTML  (20)]))/20</f>
        <v>0</v>
      </c>
      <c r="G5" s="294" t="s">
        <v>565</v>
      </c>
      <c r="H5" s="295">
        <f>_xlfn.XLOOKUP($A$1, tblGrade12A[PREFERRED NAME], tblGrade12A[INFO MANAGEMENT  (10) ])/10</f>
        <v>1</v>
      </c>
    </row>
    <row r="6" spans="1:17" ht="16" x14ac:dyDescent="0.25">
      <c r="D6" s="287"/>
      <c r="E6" s="289"/>
      <c r="G6" s="294" t="s">
        <v>566</v>
      </c>
      <c r="H6" s="295">
        <f>_xlfn.XLOOKUP($A$1, tblGrade12A[PREFERRED NAME], tblGrade12A[SOCIAL IMPLICATIONS  (10)])/10</f>
        <v>0.7</v>
      </c>
    </row>
    <row r="7" spans="1:17" ht="16" x14ac:dyDescent="0.25">
      <c r="G7" s="294" t="s">
        <v>567</v>
      </c>
      <c r="H7" s="295">
        <f>_xlfn.XLOOKUP($A$1, tblGrade12A[PREFERRED NAME], tblGrade12A[SOLUTION DEV.  (15)  ])/15</f>
        <v>0.33333333333333331</v>
      </c>
    </row>
    <row r="8" spans="1:17" ht="16" x14ac:dyDescent="0.25">
      <c r="G8" s="294" t="s">
        <v>568</v>
      </c>
      <c r="H8" s="295">
        <f>_xlfn.XLOOKUP($A$1, tblGrade12A[PREFERRED NAME], tblGrade12A[SCENARIO 1  (30)])/30</f>
        <v>0.13333333333333333</v>
      </c>
    </row>
    <row r="9" spans="1:17" ht="17" thickBot="1" x14ac:dyDescent="0.3">
      <c r="G9" s="296" t="s">
        <v>569</v>
      </c>
      <c r="H9" s="297">
        <f>_xlfn.XLOOKUP($A$1, tblGrade12A[PREFERRED NAME], tblGrade12A[SCENARIO 2  (20)])/20</f>
        <v>0.2</v>
      </c>
    </row>
    <row r="27" spans="1:17" s="290" customFormat="1" x14ac:dyDescent="0.2"/>
    <row r="28" spans="1:17" ht="16" thickBot="1" x14ac:dyDescent="0.25"/>
    <row r="29" spans="1:17" ht="16" x14ac:dyDescent="0.25">
      <c r="A29" s="291" t="s">
        <v>610</v>
      </c>
      <c r="D29" s="298" t="s">
        <v>556</v>
      </c>
      <c r="E29" s="299">
        <f>_xlfn.XLOOKUP(A29, tblGrade12B[SURNAME], tblGrade12B[FILE AND FOLDER MANAGEMENT (20)])/20</f>
        <v>0.7</v>
      </c>
      <c r="G29" s="292" t="s">
        <v>561</v>
      </c>
      <c r="H29" s="293">
        <f>_xlfn.XLOOKUP(A29, tblGrade12B[SURNAME], tblGrade12B[MULTIPLE CHOICE  (15)])/15</f>
        <v>0.73333333333333328</v>
      </c>
      <c r="M29" s="292" t="s">
        <v>570</v>
      </c>
      <c r="N29" s="293">
        <f>_xlfn.XLOOKUP(A29, tblGrade12B[SURNAME], tblGrade12B[FAT  (%)]) * 0.3</f>
        <v>0.18</v>
      </c>
    </row>
    <row r="30" spans="1:17" ht="16" x14ac:dyDescent="0.25">
      <c r="D30" s="300" t="s">
        <v>557</v>
      </c>
      <c r="E30" s="301">
        <f>_xlfn.XLOOKUP(A29, tblGrade12B[SURNAME], tblGrade12B[WORD PROCESSING (50)])/50</f>
        <v>0.7</v>
      </c>
      <c r="G30" s="294" t="s">
        <v>562</v>
      </c>
      <c r="H30" s="295">
        <f>_xlfn.XLOOKUP(A29, tblGrade12B[SURNAME], tblGrade12B[DEFINITIONS  (10)])/10</f>
        <v>0.6</v>
      </c>
      <c r="M30" s="294" t="s">
        <v>571</v>
      </c>
      <c r="N30" s="295">
        <f>_xlfn.XLOOKUP(A29, tblGrade12B[SURNAME], tblGrade12B[PRAC EXAM MARK  (%)]) * 0.35</f>
        <v>0.24305555555555552</v>
      </c>
      <c r="Q30"/>
    </row>
    <row r="31" spans="1:17" ht="17" thickBot="1" x14ac:dyDescent="0.3">
      <c r="D31" s="300" t="s">
        <v>558</v>
      </c>
      <c r="E31" s="301">
        <f>(_xlfn.XLOOKUP(A29, tblGrade12B[SURNAME], tblGrade12B[SPEADSHEETS  (50)]))/50</f>
        <v>0.84</v>
      </c>
      <c r="G31" s="294" t="s">
        <v>563</v>
      </c>
      <c r="H31" s="295">
        <f>_xlfn.XLOOKUP(A29, tblGrade12B[SURNAME], tblGrade12B[SYSTEM TECH  (25)])/25</f>
        <v>0.76</v>
      </c>
      <c r="M31" s="296" t="s">
        <v>572</v>
      </c>
      <c r="N31" s="297">
        <f>_xlfn.XLOOKUP(A29, tblGrade12B[SURNAME], tblGrade12B[THEORY EXAM MARK  (%)]) * 0.35</f>
        <v>0.252</v>
      </c>
    </row>
    <row r="32" spans="1:17" ht="16" x14ac:dyDescent="0.25">
      <c r="D32" s="300" t="s">
        <v>559</v>
      </c>
      <c r="E32" s="301">
        <f>(_xlfn.XLOOKUP(A29, tblGrade12B[SURNAME], tblGrade12B[DATABASE  (40)]))/40</f>
        <v>0.55000000000000004</v>
      </c>
      <c r="G32" s="294" t="s">
        <v>564</v>
      </c>
      <c r="H32" s="295">
        <f>_xlfn.XLOOKUP(A29, tblGrade12B[SURNAME], tblGrade12B[NETWORK TECH  (15)])/15</f>
        <v>0.66666666666666663</v>
      </c>
    </row>
    <row r="33" spans="4:8" ht="17" thickBot="1" x14ac:dyDescent="0.3">
      <c r="D33" s="302" t="s">
        <v>560</v>
      </c>
      <c r="E33" s="303">
        <f>(_xlfn.XLOOKUP(A29, tblGrade12B[SURNAME], tblGrade12B[HTML  (20)]))/20</f>
        <v>0.6</v>
      </c>
      <c r="G33" s="294" t="s">
        <v>565</v>
      </c>
      <c r="H33" s="295">
        <f>_xlfn.XLOOKUP(A29, tblGrade12B[SURNAME], tblGrade12B[INFO MANAGEMENT  (10) ])/10</f>
        <v>0.6</v>
      </c>
    </row>
    <row r="34" spans="4:8" ht="16" x14ac:dyDescent="0.25">
      <c r="G34" s="294" t="s">
        <v>566</v>
      </c>
      <c r="H34" s="295">
        <f>_xlfn.XLOOKUP(A29, tblGrade12B[SURNAME], tblGrade12B[SOCIAL IMPLICATIONS  (10)])/10</f>
        <v>0.7</v>
      </c>
    </row>
    <row r="35" spans="4:8" ht="16" x14ac:dyDescent="0.25">
      <c r="G35" s="294" t="s">
        <v>567</v>
      </c>
      <c r="H35" s="295">
        <f>_xlfn.XLOOKUP(A29, tblGrade12B[SURNAME], tblGrade12B[SOLUTION DEV.  (15)  ])/15</f>
        <v>0.73333333333333328</v>
      </c>
    </row>
    <row r="36" spans="4:8" ht="16" x14ac:dyDescent="0.25">
      <c r="G36" s="294" t="s">
        <v>568</v>
      </c>
      <c r="H36" s="295">
        <f>_xlfn.XLOOKUP(A29, tblGrade12B[SURNAME], tblGrade12B[SCENARIO 1  (30)])/30</f>
        <v>0.73333333333333328</v>
      </c>
    </row>
    <row r="37" spans="4:8" ht="17" thickBot="1" x14ac:dyDescent="0.3">
      <c r="G37" s="296" t="s">
        <v>569</v>
      </c>
      <c r="H37" s="297">
        <f>_xlfn.XLOOKUP(A29, tblGrade12B[SURNAME], tblGrade12B[SCENARIO 2  (20)])/20</f>
        <v>0.8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CB78F2-2429-A346-AA8C-AD67F8423E88}">
          <x14:formula1>
            <xm:f>'Male Students Raw 2025'!$B$2:$B$32</xm:f>
          </x14:formula1>
          <xm:sqref>A29</xm:sqref>
        </x14:dataValidation>
        <x14:dataValidation type="list" allowBlank="1" showInputMessage="1" showErrorMessage="1" xr:uid="{4CDFA8BD-7F9A-CB45-BE6D-C25B094B806D}">
          <x14:formula1>
            <xm:f>'Female Students Dash 2025'!$C$2:$C$30</xm:f>
          </x14:formula1>
          <xm:sqref>A1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GRADE 7A</vt:lpstr>
      <vt:lpstr>GRADE 7B</vt:lpstr>
      <vt:lpstr>GRADE 7C</vt:lpstr>
      <vt:lpstr>GRADE  8A</vt:lpstr>
      <vt:lpstr>GRADE 8B</vt:lpstr>
      <vt:lpstr>GRADE 8C</vt:lpstr>
      <vt:lpstr>GRADE 9A</vt:lpstr>
      <vt:lpstr>GRADE 9B</vt:lpstr>
      <vt:lpstr>GRADE 9C</vt:lpstr>
      <vt:lpstr>GRADE 10A</vt:lpstr>
      <vt:lpstr>GRADE 10B</vt:lpstr>
      <vt:lpstr>GRADE 10C</vt:lpstr>
      <vt:lpstr>Female Students Dash 2025</vt:lpstr>
      <vt:lpstr>Male Students Raw 2025</vt:lpstr>
      <vt:lpstr>Visuals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Modeste Ngirinshuti Nganzo</cp:lastModifiedBy>
  <cp:lastPrinted>2025-03-29T06:27:52Z</cp:lastPrinted>
  <dcterms:created xsi:type="dcterms:W3CDTF">2024-02-07T11:20:27Z</dcterms:created>
  <dcterms:modified xsi:type="dcterms:W3CDTF">2026-03-10T16:15:34Z</dcterms:modified>
</cp:coreProperties>
</file>